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performance" sheetId="1" r:id="rId5"/>
    <sheet state="visible" name="Raw ability" sheetId="2" r:id="rId6"/>
  </sheets>
  <definedNames/>
  <calcPr/>
</workbook>
</file>

<file path=xl/sharedStrings.xml><?xml version="1.0" encoding="utf-8"?>
<sst xmlns="http://schemas.openxmlformats.org/spreadsheetml/2006/main" count="150" uniqueCount="150">
  <si>
    <t>"Age of the Child","Capabilities Developing","How to Best Train This Capability"</t>
  </si>
  <si>
    <t>Ability long</t>
  </si>
  <si>
    <t>Todo long</t>
  </si>
  <si>
    <t>Ability clean</t>
  </si>
  <si>
    <t>Todo clean</t>
  </si>
  <si>
    <t>Age min</t>
  </si>
  <si>
    <t>Age of the child</t>
  </si>
  <si>
    <t>Ability</t>
  </si>
  <si>
    <t>What to do</t>
  </si>
  <si>
    <t>Constance (months)</t>
  </si>
  <si>
    <t>Months</t>
  </si>
  <si>
    <t>Regular</t>
  </si>
  <si>
    <t>Constance</t>
  </si>
  <si>
    <t>"0-1 month","Recognizes caregiver's voice","Talk to the baby frequently and provide skin-to-skin contact"</t>
  </si>
  <si>
    <t>"0-1 month","Follows moving objects with eyes","Use colorful and moving objects to engage their attention"</t>
  </si>
  <si>
    <t>"0-1 month","Startles at loud sounds","Create a quiet and calm environment, introduce soothing sounds"</t>
  </si>
  <si>
    <t>"1-3 months","Lifts head during tummy time","Provide supervised tummy time on a firm surface"</t>
  </si>
  <si>
    <t>"1-3 months","Smiles at familiar faces","Smile back and make eye contact frequently"</t>
  </si>
  <si>
    <t>"1-3 months","Makes cooing sounds","Talk and sing to the baby, imitate their sounds"</t>
  </si>
  <si>
    <t>"1-3 months","Turns head towards sounds","Make gentle noises, use rattles or musical toys"</t>
  </si>
  <si>
    <t>"1-3 months","Holds head up briefly","Give tummy time daily, encourage looking up"</t>
  </si>
  <si>
    <t>"1-3 months","Grasps finger when placed in hand","Offer your finger or small toys for grasping"</t>
  </si>
  <si>
    <t>"3-6 months","Reaches for objects","Place toys within reach, encourage grasping"</t>
  </si>
  <si>
    <t>"3-6 months","Rolls over from tummy to back","Provide ample floor time and encourage movement"</t>
  </si>
  <si>
    <t>"3-6 months","Laughs and squeals","Engage in playful activities, tickle and make funny faces"</t>
  </si>
  <si>
    <t>"3-6 months","Holds head steady","Support sitting with pillows, practice head control"</t>
  </si>
  <si>
    <t>"3-6 months","Explores objects with hands and mouth","Offer safe, age-appropriate toys to explore"</t>
  </si>
  <si>
    <t>"3-6 months","Sits with support","Use a high chair or lap for supported sitting"</t>
  </si>
  <si>
    <t>"3-6 months","Pushes up on arms during tummy time","Place toys at eye level during tummy time"</t>
  </si>
  <si>
    <t>"6-9 months","Sits without support","Support sitting with pillows, encourage independent sitting"</t>
  </si>
  <si>
    <t>"6-9 months","Babbles consonant sounds","Respond to babbling, repeat sounds back to the baby"</t>
  </si>
  <si>
    <t>"6-9 months","Transfers objects between hands","Provide toys that are easy to grasp and pass"</t>
  </si>
  <si>
    <t>"6-9 months","Supports weight on legs when held upright","Hold baby upright and let them bounce"</t>
  </si>
  <si>
    <t>"6-9 months","Explores objects by shaking, banging, and throwing","Provide safe objects to explore"</t>
  </si>
  <si>
    <t>"6-9 months","Responds to own name","Use the baby's name frequently in conversation"</t>
  </si>
  <si>
    <t>"6-9 months","Plays peek-a-boo","Engage in peek-a-boo games to develop object permanence"</t>
  </si>
  <si>
    <t>"6-9 months","Shows stranger anxiety","Introduce new people gradually, stay close for comfort"</t>
  </si>
  <si>
    <t>"9-12 months","Crawls","Create a safe space for crawling, place toys to encourage movement"</t>
  </si>
  <si>
    <t>"9-12 months","Stands with support","Provide sturdy furniture for pulling up, offer hands for support"</t>
  </si>
  <si>
    <t>"9-12 months","Understands simple words like 'no'","Use clear and consistent language, provide gentle correction"</t>
  </si>
  <si>
    <t>"9-12 months","Claps hands","Demonstrate clapping, sing songs with clapping"</t>
  </si>
  <si>
    <t>"9-12 months","Waves bye-bye","Model waving, encourage waving during greetings and goodbyes"</t>
  </si>
  <si>
    <t>"9-12 months","Responds to 'come here'","Encourage following directions, use gestures"</t>
  </si>
  <si>
    <t>"9-12 months","Picks up small objects with thumb and forefinger","Provide small, safe objects for pincer grasp practice"</t>
  </si>
  <si>
    <t>"9-12 months","Shows interest in books and pictures","Read to the baby, show and name pictures"</t>
  </si>
  <si>
    <t>"12-15 months","Walks independently","Encourage walking by holding hands, provide push toys"</t>
  </si>
  <si>
    <t>"12-15 months","Says first words","Name objects and people consistently, read books together"</t>
  </si>
  <si>
    <t>"12-15 months","Points to objects","Model pointing and naming objects, engage in pointing games"</t>
  </si>
  <si>
    <t>"12-15 months","Feeds self with fingers","Offer finger foods, encourage self-feeding"</t>
  </si>
  <si>
    <t>"12-15 months","Drinks from a cup","Provide a sippy cup, practice drinking from a cup"</t>
  </si>
  <si>
    <t>"12-15 months","Imitates simple actions","Play imitation games, model simple actions"</t>
  </si>
  <si>
    <t>"12-15 months","Follows simple directions","Give clear, simple instructions, praise compliance"</t>
  </si>
  <si>
    <t>"12-15 months","Shows preference for certain people and toys","Offer choices, respect preferences"</t>
  </si>
  <si>
    <t>"12-15 months","Explores alone but with parent close by","Provide a safe environment, supervise exploration"</t>
  </si>
  <si>
    <t>"15-18 months","Stacks two blocks","Provide stacking toys and demonstrate how to use them"</t>
  </si>
  <si>
    <t>"15-18 months","Follows simple commands","Give clear, simple instructions, praise compliance"</t>
  </si>
  <si>
    <t>"15-18 months","Imitates others","Engage in pretend play, model behaviors for imitation"</t>
  </si>
  <si>
    <t>"15-18 months","Walks backwards","Encourage walking games, provide open space"</t>
  </si>
  <si>
    <t>"15-18 months","Uses a spoon","Offer a spoon during meals, demonstrate scooping and eating"</t>
  </si>
  <si>
    <t>"15-18 months","Turns pages in a book","Provide sturdy board books, encourage page turning"</t>
  </si>
  <si>
    <t>"15-18 months","Shows affection to familiar people","Model affectionate behavior, give hugs and kisses"</t>
  </si>
  <si>
    <t>"15-18 months","Identifies one or more body parts","Play naming games, use songs about body parts"</t>
  </si>
  <si>
    <t>"15-18 months","Pushes and pulls toys","Provide push and pull toys, demonstrate their use"</t>
  </si>
  <si>
    <t>"18-21 months","Runs","Provide safe spaces for running, play chase games"</t>
  </si>
  <si>
    <t>"18-21 months","Scribbles with a crayon","Offer crayons and paper, demonstrate scribbling"</t>
  </si>
  <si>
    <t>"18-21 months","Uses simple phrases","Encourage use of phrases, expand on what the child says"</t>
  </si>
  <si>
    <t>"18-21 months","Builds tower of four blocks","Provide blocks, encourage building"</t>
  </si>
  <si>
    <t>"18-21 months","Kicks a ball","Play ball games, demonstrate kicking"</t>
  </si>
  <si>
    <t>"18-21 months","Shows defiant behavior","Set clear boundaries, offer choices to avoid power struggles"</t>
  </si>
  <si>
    <t>"18-21 months","Plays alongside other children","Arrange playdates, supervise parallel play"</t>
  </si>
  <si>
    <t>"18-21 months","Uses a toothbrush with help","Demonstrate brushing, assist with brushing teeth"</t>
  </si>
  <si>
    <t>"18-21 months","Understands and responds to 'yes' and 'no'","Use clear language, be consistent with yes/no responses"</t>
  </si>
  <si>
    <t>"21-24 months","Shows more independence","Encourage self-help skills, provide opportunities for choice"</t>
  </si>
  <si>
    <t>"21-24 months","Names familiar objects","Name objects frequently, encourage naming during play"</t>
  </si>
  <si>
    <t>"21-24 months","Begins to sort shapes and colors","Provide sorting toys, encourage categorization"</t>
  </si>
  <si>
    <t>"21-24 months","Engages in pretend play","Provide dress-up clothes and props, join in pretend play"</t>
  </si>
  <si>
    <t>"21-24 months","Follows two-step instructions","Give multi-step directions, praise following"</t>
  </si>
  <si>
    <t>"21-24 months","Uses pronouns (I, me, you)","Model correct pronoun usage, engage in conversations"</t>
  </si>
  <si>
    <t>"21-24 months","Shows interest in toilet training","Introduce potty, read books about toilet training"</t>
  </si>
  <si>
    <t>"21-24 months","Plays simple make-believe games","Encourage imagination, join in pretend play"</t>
  </si>
  <si>
    <t>"21-24 months","Builds higher towers","Provide more blocks, encourage taller structures"</t>
  </si>
  <si>
    <t>"21-24 months","Draws simple shapes","Provide drawing materials, demonstrate simple shapes"</t>
  </si>
  <si>
    <t>"24-27 months","Jumps with both feet","Create opportunities for jumping, use low obstacles"</t>
  </si>
  <si>
    <t>Alphabet incomplete spelling</t>
  </si>
  <si>
    <t>Play alphabet</t>
  </si>
  <si>
    <t>"24-27 months","Says name, age, and gender","Practice introducing themselves, use name games"</t>
  </si>
  <si>
    <t>"24-27 months","Shows empathy to others","Model empathetic behavior, discuss emotions"</t>
  </si>
  <si>
    <t>"24-27 months","Begins to understand time (today, tomorrow)","Use time-related language, discuss daily routines"</t>
  </si>
  <si>
    <t>"24-27 months","Shows curiosity about the world","Answer questions, provide new experiences"</t>
  </si>
  <si>
    <t>"24-27 months","Completes simple puzzles","Provide age-appropriate puzzles, offer guidance"</t>
  </si>
  <si>
    <t>"24-27 months","Dresses and undresses with help","Encourage dressing skills, provide easy-to-manage clothes"</t>
  </si>
  <si>
    <t>"24-27 months","Uses plurals and simple sentences","Model correct grammar, engage in conversations"</t>
  </si>
  <si>
    <t>"24-27 months","Knows some colors and shapes","Play color and shape games, use descriptive language"</t>
  </si>
  <si>
    <t>"24-27 months","Begins to play cooperatively","Facilitate group activities, teach sharing and turn-taking"</t>
  </si>
  <si>
    <t>"27-30 months","Draws straight lines","Provide drawing materials, demonstrate drawing lines"</t>
  </si>
  <si>
    <t>"27-30 months","Throws ball overhand","Play catch games, demonstrate throwing techniques"</t>
  </si>
  <si>
    <t>"27-30 months","Pedals a tricycle","Provide a tricycle, supervise riding"</t>
  </si>
  <si>
    <t>"27-30 months","Understands prepositions (in, on, under)","Give directions using prepositions, use toys for demonstration"</t>
  </si>
  <si>
    <t>"27-30 months","Begins to understand size differences","Use descriptive language, provide different sized objects"</t>
  </si>
  <si>
    <t>"27-30 months","Recognizes own reflection","Provide mirrors, discuss reflections"</t>
  </si>
  <si>
    <t>"27-30 months","Follows simple rules during play","Introduce basic game rules, practice during play"</t>
  </si>
  <si>
    <t>"27-30 months","Engages in role-play activities","Provide props, encourage pretending"</t>
  </si>
  <si>
    <t>"27-30 months","Counts to three","Engage in counting games, use everyday objects for counting"</t>
  </si>
  <si>
    <t>"27-30 months","Speaks clearly enough for strangers to understand","Encourage speaking, provide feedback on clarity"</t>
  </si>
  <si>
    <t>"30-33 months","Balances on one foot","Play balance games, encourage standing on one foot"</t>
  </si>
  <si>
    <t>"30-33 months","Uses scissors to cut paper","Provide child-safe scissors, supervise cutting activities"</t>
  </si>
  <si>
    <t>"30-33 months","Understands simple jokes and humor","Tell simple jokes, engage in playful humor"</t>
  </si>
  <si>
    <t>"30-33 months","Plays make-believe with dolls, animals, and people","Provide toys for imaginative play, join in"</t>
  </si>
  <si>
    <t>"30-33 months","Recites simple rhymes and songs","Sing together, practice favorite rhymes"</t>
  </si>
  <si>
    <t>"30-33 months","Draws circles","Provide paper and crayons, demonstrate drawing circles"</t>
  </si>
  <si>
    <t>"30-33 months","Begins to share with others","Encourage sharing, praise cooperative behavior"</t>
  </si>
  <si>
    <t>"30-33 months","Knows basic body parts","Play naming games, use songs about body parts"</t>
  </si>
  <si>
    <t>"30-33 months","Matches objects to pictures","Provide matching games, practice identifying objects"</t>
  </si>
  <si>
    <t>"30-33 months","Recognizes familiar signs and logos","Point out signs and logos, discuss their meanings"</t>
  </si>
  <si>
    <t>"33-36 months","Rides a tricycle","Provide a tricycle, supervise riding"</t>
  </si>
  <si>
    <t>"33-36 months","Sorts objects by shape and color","Provide sorting toys, encourage categorization"</t>
  </si>
  <si>
    <t>"33-36 months","Uses pronouns (I, me, you)","Model correct pronoun usage, engage in conversations"</t>
  </si>
  <si>
    <t>"33-36 months","Understands spatial concepts (inside, outside)","Use spatial language, play games involving space"</t>
  </si>
  <si>
    <t>"33-36 months","Plays board games with simple rules","Introduce simple games, practice turn-taking"</t>
  </si>
  <si>
    <t>"33-36 months","Recites the alphabet","Sing the alphabet song, practice letter recognition"</t>
  </si>
  <si>
    <t>"33-36 months","Counts to ten","Engage in counting activities, use everyday objects for practice"</t>
  </si>
  <si>
    <t>"33-36 months","Names friends","Encourage social interactions, discuss friends and relationships"</t>
  </si>
  <si>
    <t>"33-36 months","Builds complex structures with blocks","Provide more blocks, encourage creative building"</t>
  </si>
  <si>
    <t>"33-36 months","Understands and follows complex instructions","Give detailed directions, reinforce with praise"</t>
  </si>
  <si>
    <t>"33-36 months","Recognizes and names many colors","Play color identification games, use colorful objects"</t>
  </si>
  <si>
    <t>"33-36 months","Asks 'why' questions","Answer questions patiently, encourage curiosity"</t>
  </si>
  <si>
    <t>"33-36 months","Engages in imaginative play","Provide dress-up clothes and props, join in pretend play"</t>
  </si>
  <si>
    <t>"33-36 months","Recognizes written numbers and letters","Use flashcards, practice writing and recognition"</t>
  </si>
  <si>
    <t>"33-36 months","Participates in group activities","Facilitate group play, teach cooperation"</t>
  </si>
  <si>
    <t>"33-36 months","Speaks in full sentences","Encourage storytelling, ask open-ended questions"</t>
  </si>
  <si>
    <t>"36 months","Balances on one foot for a few seconds","Play balance games, encourage standing on one foot"</t>
  </si>
  <si>
    <t>"36 months","Uses correct tense and plurals","Model correct grammar, engage in conversations"</t>
  </si>
  <si>
    <t>"36 months","Understands prepositions (in, on, under)","Give directions using prepositions, use toys for demonstration"</t>
  </si>
  <si>
    <t>"36 months","Knows own name, age, and gender","Practice introducing themselves, use name games"</t>
  </si>
  <si>
    <t>"36 months","Rides a tricycle well","Provide opportunities for riding, supervise outdoor activities"</t>
  </si>
  <si>
    <t>"36 months","Draws recognizable shapes","Provide drawing materials, demonstrate different shapes"</t>
  </si>
  <si>
    <t>"36 months","Engages in detailed pretend play","Provide props and scenarios, encourage imaginative storytelling"</t>
  </si>
  <si>
    <t>"36 months","Follows three-step instructions","Give complex instructions, reinforce with praise"</t>
  </si>
  <si>
    <t>"36 months","Recognizes and can write some letters and numbers","Practice writing, use educational games"</t>
  </si>
  <si>
    <t>"36 months","Participates in group activities and plays cooperatively","Facilitate group play, teach cooperation and sharing"</t>
  </si>
  <si>
    <t>"36 months","Expresses a wide range of emotions","Discuss feelings, provide comfort and support"</t>
  </si>
  <si>
    <t>"36 months","Uses a fork and spoon effectively","Provide utensils, encourage self-feeding"</t>
  </si>
  <si>
    <t>"36 months","Dresses and undresses with minimal help","Encourage dressing skills, provide easy-to-manage clothes"</t>
  </si>
  <si>
    <t>"36 months","Recognizes familiar written words","Use flashcards, practice reading simple words"</t>
  </si>
  <si>
    <t>"36 months","Understands cause and effect relationships","Discuss outcomes of actions, provide examples"</t>
  </si>
  <si>
    <t>"36 months","Shows interest in new experiences","Introduce new activities, encourage exploration"</t>
  </si>
  <si>
    <t>"36 months","Can state first and last name","Practice saying full name, use introduction games"</t>
  </si>
  <si>
    <t>"36 months","Participates in simple chores","Assign small tasks, praise efforts"</t>
  </si>
  <si>
    <t>"36 months","Displays a sense of humor","Engage in playful humor, tell simple jokes"</t>
  </si>
  <si>
    <t>"36 months","Understands basic safety rules","Discuss safety, practice following rules"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</si>
</sst>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'Raw ability'!$P$2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'Raw ability'!$O$3:$O$39</c:f>
            </c:strRef>
          </c:cat>
          <c:val>
            <c:numRef>
              <c:f>'Raw ability'!$P$3:$P$39</c:f>
              <c:numCache/>
            </c:numRef>
          </c:val>
          <c:smooth val="0"/>
        </c:ser>
        <c:ser>
          <c:idx val="1"/>
          <c:order val="1"/>
          <c:tx>
            <c:strRef>
              <c:f>'Raw ability'!$Q$2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'Raw ability'!$O$3:$O$39</c:f>
            </c:strRef>
          </c:cat>
          <c:val>
            <c:numRef>
              <c:f>'Raw ability'!$Q$3:$Q$39</c:f>
              <c:numCache/>
            </c:numRef>
          </c:val>
          <c:smooth val="0"/>
        </c:ser>
        <c:axId val="1538888076"/>
        <c:axId val="1614680482"/>
      </c:lineChart>
      <c:catAx>
        <c:axId val="15388880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4680482"/>
      </c:catAx>
      <c:valAx>
        <c:axId val="1614680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888807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4333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hidden="1" min="2" max="2" width="91.25"/>
    <col customWidth="1" hidden="1" min="3" max="3" width="68.75"/>
    <col customWidth="1" hidden="1" min="4" max="4" width="45.5"/>
    <col customWidth="1" hidden="1" min="5" max="5" width="46.5"/>
    <col customWidth="1" hidden="1" min="6" max="6" width="45.5"/>
    <col customWidth="1" hidden="1" min="7" max="8" width="14.5"/>
    <col customWidth="1" min="9" max="9" width="4.0"/>
    <col customWidth="1" min="10" max="10" width="13.5"/>
    <col customWidth="1" min="11" max="11" width="40.88"/>
    <col customWidth="1" min="12" max="12" width="55.75"/>
    <col customWidth="1" min="13" max="13" width="16.75"/>
    <col customWidth="1" min="14" max="14" width="5.63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2" t="str">
        <f t="shared" ref="H2:H72" si="2">RIGHT(LEFT(B2,FIND(",",B2)-2),LEN(LEFT(B2,FIND(",",B2)-2))-1)</f>
        <v>Age of the Child</v>
      </c>
      <c r="J2" s="3" t="s">
        <v>6</v>
      </c>
      <c r="K2" s="3" t="s">
        <v>7</v>
      </c>
      <c r="L2" s="3" t="s">
        <v>8</v>
      </c>
      <c r="M2" s="3" t="s">
        <v>9</v>
      </c>
      <c r="O2" s="3" t="s">
        <v>10</v>
      </c>
      <c r="P2" s="3" t="s">
        <v>11</v>
      </c>
      <c r="Q2" s="3" t="s">
        <v>12</v>
      </c>
    </row>
    <row r="3">
      <c r="B3" s="4" t="s">
        <v>13</v>
      </c>
      <c r="C3" s="5" t="str">
        <f t="shared" ref="C3:D3" si="1">RIGHT(B3,LEN(B3)-FIND(",",B3))</f>
        <v>"Recognizes caregiver's voice","Talk to the baby frequently and provide skin-to-skin contact"</v>
      </c>
      <c r="D3" s="5" t="str">
        <f t="shared" si="1"/>
        <v>"Talk to the baby frequently and provide skin-to-skin contact"</v>
      </c>
      <c r="E3" s="5" t="str">
        <f t="shared" ref="E3:E72" si="5">RIGHT(LEFT(C3,FIND(",",C3)-2),LEN(LEFT(C3,FIND(",",C3)-2))-1)</f>
        <v>Recognizes caregiver's voice</v>
      </c>
      <c r="F3" s="5" t="str">
        <f t="shared" ref="F3:F72" si="6">RIGHT(LEFT(D3,LEN(D3)-1),LEN(D3)-2)</f>
        <v>Talk to the baby frequently and provide skin-to-skin contact</v>
      </c>
      <c r="G3" s="5" t="str">
        <f t="shared" ref="G3:G72" si="7">LEFT(H3,FIND("-",H3)-1)</f>
        <v>0</v>
      </c>
      <c r="H3" s="5" t="str">
        <f t="shared" si="2"/>
        <v>0-1 month</v>
      </c>
      <c r="J3" s="6">
        <v>0.0</v>
      </c>
      <c r="K3" s="5" t="str">
        <f t="shared" ref="K3:L3" si="3">E3</f>
        <v>Recognizes caregiver's voice</v>
      </c>
      <c r="L3" s="5" t="str">
        <f t="shared" si="3"/>
        <v>Talk to the baby frequently and provide skin-to-skin contact</v>
      </c>
      <c r="M3" s="4">
        <v>0.0</v>
      </c>
      <c r="O3" s="4">
        <v>0.0</v>
      </c>
      <c r="P3" s="5">
        <f t="shared" ref="P3:P39" si="9">COUNTIF(J:J, "&lt;" &amp; O3+1)</f>
        <v>3</v>
      </c>
      <c r="Q3" s="5">
        <f t="shared" ref="Q3:Q39" si="10">COUNTIF(M:M, "&lt;" &amp; O3+1)</f>
        <v>6</v>
      </c>
    </row>
    <row r="4">
      <c r="B4" s="4" t="s">
        <v>14</v>
      </c>
      <c r="C4" s="5" t="str">
        <f t="shared" ref="C4:D4" si="4">RIGHT(B4,LEN(B4)-FIND(",",B4))</f>
        <v>"Follows moving objects with eyes","Use colorful and moving objects to engage their attention"</v>
      </c>
      <c r="D4" s="5" t="str">
        <f t="shared" si="4"/>
        <v>"Use colorful and moving objects to engage their attention"</v>
      </c>
      <c r="E4" s="5" t="str">
        <f t="shared" si="5"/>
        <v>Follows moving objects with eyes</v>
      </c>
      <c r="F4" s="5" t="str">
        <f t="shared" si="6"/>
        <v>Use colorful and moving objects to engage their attention</v>
      </c>
      <c r="G4" s="5" t="str">
        <f t="shared" si="7"/>
        <v>0</v>
      </c>
      <c r="H4" s="5" t="str">
        <f t="shared" si="2"/>
        <v>0-1 month</v>
      </c>
      <c r="J4" s="6">
        <v>0.0</v>
      </c>
      <c r="K4" s="5" t="str">
        <f t="shared" ref="K4:L4" si="8">E4</f>
        <v>Follows moving objects with eyes</v>
      </c>
      <c r="L4" s="5" t="str">
        <f t="shared" si="8"/>
        <v>Use colorful and moving objects to engage their attention</v>
      </c>
      <c r="M4" s="4">
        <v>0.0</v>
      </c>
      <c r="O4" s="4">
        <v>1.0</v>
      </c>
      <c r="P4" s="5">
        <f t="shared" si="9"/>
        <v>9</v>
      </c>
      <c r="Q4" s="5">
        <f t="shared" si="10"/>
        <v>8</v>
      </c>
    </row>
    <row r="5">
      <c r="B5" s="4" t="s">
        <v>15</v>
      </c>
      <c r="C5" s="5" t="str">
        <f t="shared" ref="C5:D5" si="11">RIGHT(B5,LEN(B5)-FIND(",",B5))</f>
        <v>"Startles at loud sounds","Create a quiet and calm environment, introduce soothing sounds"</v>
      </c>
      <c r="D5" s="5" t="str">
        <f t="shared" si="11"/>
        <v>"Create a quiet and calm environment, introduce soothing sounds"</v>
      </c>
      <c r="E5" s="5" t="str">
        <f t="shared" si="5"/>
        <v>Startles at loud sounds</v>
      </c>
      <c r="F5" s="5" t="str">
        <f t="shared" si="6"/>
        <v>Create a quiet and calm environment, introduce soothing sounds</v>
      </c>
      <c r="G5" s="5" t="str">
        <f t="shared" si="7"/>
        <v>0</v>
      </c>
      <c r="H5" s="5" t="str">
        <f t="shared" si="2"/>
        <v>0-1 month</v>
      </c>
      <c r="J5" s="6">
        <v>0.0</v>
      </c>
      <c r="K5" s="5" t="str">
        <f t="shared" ref="K5:L5" si="12">E5</f>
        <v>Startles at loud sounds</v>
      </c>
      <c r="L5" s="5" t="str">
        <f t="shared" si="12"/>
        <v>Create a quiet and calm environment, introduce soothing sounds</v>
      </c>
      <c r="M5" s="4">
        <v>0.0</v>
      </c>
      <c r="O5" s="4">
        <v>2.0</v>
      </c>
      <c r="P5" s="5">
        <f t="shared" si="9"/>
        <v>9</v>
      </c>
      <c r="Q5" s="5">
        <f t="shared" si="10"/>
        <v>10</v>
      </c>
    </row>
    <row r="6">
      <c r="B6" s="4" t="s">
        <v>16</v>
      </c>
      <c r="C6" s="5" t="str">
        <f t="shared" ref="C6:D6" si="13">RIGHT(B6,LEN(B6)-FIND(",",B6))</f>
        <v>"Lifts head during tummy time","Provide supervised tummy time on a firm surface"</v>
      </c>
      <c r="D6" s="5" t="str">
        <f t="shared" si="13"/>
        <v>"Provide supervised tummy time on a firm surface"</v>
      </c>
      <c r="E6" s="5" t="str">
        <f t="shared" si="5"/>
        <v>Lifts head during tummy time</v>
      </c>
      <c r="F6" s="5" t="str">
        <f t="shared" si="6"/>
        <v>Provide supervised tummy time on a firm surface</v>
      </c>
      <c r="G6" s="5" t="str">
        <f t="shared" si="7"/>
        <v>1</v>
      </c>
      <c r="H6" s="5" t="str">
        <f t="shared" si="2"/>
        <v>1-3 months</v>
      </c>
      <c r="J6" s="6">
        <v>1.0</v>
      </c>
      <c r="K6" s="5" t="str">
        <f t="shared" ref="K6:L6" si="14">E6</f>
        <v>Lifts head during tummy time</v>
      </c>
      <c r="L6" s="5" t="str">
        <f t="shared" si="14"/>
        <v>Provide supervised tummy time on a firm surface</v>
      </c>
      <c r="M6" s="4">
        <v>0.0</v>
      </c>
      <c r="O6" s="4">
        <v>3.0</v>
      </c>
      <c r="P6" s="5">
        <f t="shared" si="9"/>
        <v>16</v>
      </c>
      <c r="Q6" s="5">
        <f t="shared" si="10"/>
        <v>20</v>
      </c>
    </row>
    <row r="7">
      <c r="B7" s="4" t="s">
        <v>17</v>
      </c>
      <c r="C7" s="5" t="str">
        <f t="shared" ref="C7:D7" si="15">RIGHT(B7,LEN(B7)-FIND(",",B7))</f>
        <v>"Smiles at familiar faces","Smile back and make eye contact frequently"</v>
      </c>
      <c r="D7" s="5" t="str">
        <f t="shared" si="15"/>
        <v>"Smile back and make eye contact frequently"</v>
      </c>
      <c r="E7" s="5" t="str">
        <f t="shared" si="5"/>
        <v>Smiles at familiar faces</v>
      </c>
      <c r="F7" s="5" t="str">
        <f t="shared" si="6"/>
        <v>Smile back and make eye contact frequently</v>
      </c>
      <c r="G7" s="5" t="str">
        <f t="shared" si="7"/>
        <v>1</v>
      </c>
      <c r="H7" s="5" t="str">
        <f t="shared" si="2"/>
        <v>1-3 months</v>
      </c>
      <c r="J7" s="6">
        <v>1.0</v>
      </c>
      <c r="K7" s="5" t="str">
        <f t="shared" ref="K7:L7" si="16">E7</f>
        <v>Smiles at familiar faces</v>
      </c>
      <c r="L7" s="5" t="str">
        <f t="shared" si="16"/>
        <v>Smile back and make eye contact frequently</v>
      </c>
      <c r="M7" s="4">
        <v>0.0</v>
      </c>
      <c r="O7" s="4">
        <v>4.0</v>
      </c>
      <c r="P7" s="5">
        <f t="shared" si="9"/>
        <v>16</v>
      </c>
      <c r="Q7" s="5">
        <f t="shared" si="10"/>
        <v>24</v>
      </c>
    </row>
    <row r="8">
      <c r="B8" s="4" t="s">
        <v>18</v>
      </c>
      <c r="C8" s="5" t="str">
        <f t="shared" ref="C8:D8" si="17">RIGHT(B8,LEN(B8)-FIND(",",B8))</f>
        <v>"Makes cooing sounds","Talk and sing to the baby, imitate their sounds"</v>
      </c>
      <c r="D8" s="5" t="str">
        <f t="shared" si="17"/>
        <v>"Talk and sing to the baby, imitate their sounds"</v>
      </c>
      <c r="E8" s="5" t="str">
        <f t="shared" si="5"/>
        <v>Makes cooing sounds</v>
      </c>
      <c r="F8" s="5" t="str">
        <f t="shared" si="6"/>
        <v>Talk and sing to the baby, imitate their sounds</v>
      </c>
      <c r="G8" s="5" t="str">
        <f t="shared" si="7"/>
        <v>1</v>
      </c>
      <c r="H8" s="5" t="str">
        <f t="shared" si="2"/>
        <v>1-3 months</v>
      </c>
      <c r="J8" s="6">
        <v>1.0</v>
      </c>
      <c r="K8" s="5" t="str">
        <f t="shared" ref="K8:L8" si="18">E8</f>
        <v>Makes cooing sounds</v>
      </c>
      <c r="L8" s="5" t="str">
        <f t="shared" si="18"/>
        <v>Talk and sing to the baby, imitate their sounds</v>
      </c>
      <c r="M8" s="4">
        <v>0.0</v>
      </c>
      <c r="O8" s="4">
        <v>5.0</v>
      </c>
      <c r="P8" s="5">
        <f t="shared" si="9"/>
        <v>16</v>
      </c>
      <c r="Q8" s="5">
        <f t="shared" si="10"/>
        <v>25</v>
      </c>
    </row>
    <row r="9">
      <c r="B9" s="4" t="s">
        <v>19</v>
      </c>
      <c r="C9" s="5" t="str">
        <f t="shared" ref="C9:D9" si="19">RIGHT(B9,LEN(B9)-FIND(",",B9))</f>
        <v>"Turns head towards sounds","Make gentle noises, use rattles or musical toys"</v>
      </c>
      <c r="D9" s="5" t="str">
        <f t="shared" si="19"/>
        <v>"Make gentle noises, use rattles or musical toys"</v>
      </c>
      <c r="E9" s="5" t="str">
        <f t="shared" si="5"/>
        <v>Turns head towards sounds</v>
      </c>
      <c r="F9" s="5" t="str">
        <f t="shared" si="6"/>
        <v>Make gentle noises, use rattles or musical toys</v>
      </c>
      <c r="G9" s="5" t="str">
        <f t="shared" si="7"/>
        <v>1</v>
      </c>
      <c r="H9" s="5" t="str">
        <f t="shared" si="2"/>
        <v>1-3 months</v>
      </c>
      <c r="J9" s="6">
        <v>1.0</v>
      </c>
      <c r="K9" s="5" t="str">
        <f t="shared" ref="K9:L9" si="20">E9</f>
        <v>Turns head towards sounds</v>
      </c>
      <c r="L9" s="5" t="str">
        <f t="shared" si="20"/>
        <v>Make gentle noises, use rattles or musical toys</v>
      </c>
      <c r="M9" s="4">
        <v>1.0</v>
      </c>
      <c r="O9" s="4">
        <v>6.0</v>
      </c>
      <c r="P9" s="5">
        <f t="shared" si="9"/>
        <v>24</v>
      </c>
      <c r="Q9" s="5">
        <f t="shared" si="10"/>
        <v>26</v>
      </c>
    </row>
    <row r="10">
      <c r="B10" s="4" t="s">
        <v>20</v>
      </c>
      <c r="C10" s="5" t="str">
        <f t="shared" ref="C10:D10" si="21">RIGHT(B10,LEN(B10)-FIND(",",B10))</f>
        <v>"Holds head up briefly","Give tummy time daily, encourage looking up"</v>
      </c>
      <c r="D10" s="5" t="str">
        <f t="shared" si="21"/>
        <v>"Give tummy time daily, encourage looking up"</v>
      </c>
      <c r="E10" s="5" t="str">
        <f t="shared" si="5"/>
        <v>Holds head up briefly</v>
      </c>
      <c r="F10" s="5" t="str">
        <f t="shared" si="6"/>
        <v>Give tummy time daily, encourage looking up</v>
      </c>
      <c r="G10" s="5" t="str">
        <f t="shared" si="7"/>
        <v>1</v>
      </c>
      <c r="H10" s="5" t="str">
        <f t="shared" si="2"/>
        <v>1-3 months</v>
      </c>
      <c r="J10" s="6">
        <v>1.0</v>
      </c>
      <c r="K10" s="5" t="str">
        <f t="shared" ref="K10:L10" si="22">E10</f>
        <v>Holds head up briefly</v>
      </c>
      <c r="L10" s="5" t="str">
        <f t="shared" si="22"/>
        <v>Give tummy time daily, encourage looking up</v>
      </c>
      <c r="M10" s="4">
        <v>1.0</v>
      </c>
      <c r="O10" s="4">
        <v>7.0</v>
      </c>
      <c r="P10" s="5">
        <f t="shared" si="9"/>
        <v>24</v>
      </c>
      <c r="Q10" s="5">
        <f t="shared" si="10"/>
        <v>31</v>
      </c>
    </row>
    <row r="11">
      <c r="B11" s="4" t="s">
        <v>21</v>
      </c>
      <c r="C11" s="5" t="str">
        <f t="shared" ref="C11:D11" si="23">RIGHT(B11,LEN(B11)-FIND(",",B11))</f>
        <v>"Grasps finger when placed in hand","Offer your finger or small toys for grasping"</v>
      </c>
      <c r="D11" s="5" t="str">
        <f t="shared" si="23"/>
        <v>"Offer your finger or small toys for grasping"</v>
      </c>
      <c r="E11" s="5" t="str">
        <f t="shared" si="5"/>
        <v>Grasps finger when placed in hand</v>
      </c>
      <c r="F11" s="5" t="str">
        <f t="shared" si="6"/>
        <v>Offer your finger or small toys for grasping</v>
      </c>
      <c r="G11" s="5" t="str">
        <f t="shared" si="7"/>
        <v>1</v>
      </c>
      <c r="H11" s="5" t="str">
        <f t="shared" si="2"/>
        <v>1-3 months</v>
      </c>
      <c r="J11" s="6">
        <v>1.0</v>
      </c>
      <c r="K11" s="5" t="str">
        <f t="shared" ref="K11:L11" si="24">E11</f>
        <v>Grasps finger when placed in hand</v>
      </c>
      <c r="L11" s="5" t="str">
        <f t="shared" si="24"/>
        <v>Offer your finger or small toys for grasping</v>
      </c>
      <c r="M11" s="4">
        <v>2.0</v>
      </c>
      <c r="O11" s="4">
        <v>8.0</v>
      </c>
      <c r="P11" s="5">
        <f t="shared" si="9"/>
        <v>24</v>
      </c>
      <c r="Q11" s="5">
        <f t="shared" si="10"/>
        <v>32</v>
      </c>
    </row>
    <row r="12">
      <c r="B12" s="4" t="s">
        <v>22</v>
      </c>
      <c r="C12" s="5" t="str">
        <f t="shared" ref="C12:D12" si="25">RIGHT(B12,LEN(B12)-FIND(",",B12))</f>
        <v>"Reaches for objects","Place toys within reach, encourage grasping"</v>
      </c>
      <c r="D12" s="5" t="str">
        <f t="shared" si="25"/>
        <v>"Place toys within reach, encourage grasping"</v>
      </c>
      <c r="E12" s="5" t="str">
        <f t="shared" si="5"/>
        <v>Reaches for objects</v>
      </c>
      <c r="F12" s="5" t="str">
        <f t="shared" si="6"/>
        <v>Place toys within reach, encourage grasping</v>
      </c>
      <c r="G12" s="5" t="str">
        <f t="shared" si="7"/>
        <v>3</v>
      </c>
      <c r="H12" s="5" t="str">
        <f t="shared" si="2"/>
        <v>3-6 months</v>
      </c>
      <c r="J12" s="6">
        <v>3.0</v>
      </c>
      <c r="K12" s="5" t="str">
        <f t="shared" ref="K12:L12" si="26">E12</f>
        <v>Reaches for objects</v>
      </c>
      <c r="L12" s="5" t="str">
        <f t="shared" si="26"/>
        <v>Place toys within reach, encourage grasping</v>
      </c>
      <c r="M12" s="4">
        <v>2.0</v>
      </c>
      <c r="O12" s="4">
        <v>9.0</v>
      </c>
      <c r="P12" s="5">
        <f t="shared" si="9"/>
        <v>32</v>
      </c>
      <c r="Q12" s="5">
        <f t="shared" si="10"/>
        <v>32</v>
      </c>
    </row>
    <row r="13">
      <c r="B13" s="4" t="s">
        <v>23</v>
      </c>
      <c r="C13" s="5" t="str">
        <f t="shared" ref="C13:D13" si="27">RIGHT(B13,LEN(B13)-FIND(",",B13))</f>
        <v>"Rolls over from tummy to back","Provide ample floor time and encourage movement"</v>
      </c>
      <c r="D13" s="5" t="str">
        <f t="shared" si="27"/>
        <v>"Provide ample floor time and encourage movement"</v>
      </c>
      <c r="E13" s="5" t="str">
        <f t="shared" si="5"/>
        <v>Rolls over from tummy to back</v>
      </c>
      <c r="F13" s="5" t="str">
        <f t="shared" si="6"/>
        <v>Provide ample floor time and encourage movement</v>
      </c>
      <c r="G13" s="5" t="str">
        <f t="shared" si="7"/>
        <v>3</v>
      </c>
      <c r="H13" s="5" t="str">
        <f t="shared" si="2"/>
        <v>3-6 months</v>
      </c>
      <c r="J13" s="6">
        <v>3.0</v>
      </c>
      <c r="K13" s="5" t="str">
        <f t="shared" ref="K13:L13" si="28">E13</f>
        <v>Rolls over from tummy to back</v>
      </c>
      <c r="L13" s="5" t="str">
        <f t="shared" si="28"/>
        <v>Provide ample floor time and encourage movement</v>
      </c>
      <c r="M13" s="4">
        <v>3.0</v>
      </c>
      <c r="O13" s="4">
        <v>10.0</v>
      </c>
      <c r="P13" s="5">
        <f t="shared" si="9"/>
        <v>32</v>
      </c>
      <c r="Q13" s="5">
        <f t="shared" si="10"/>
        <v>35</v>
      </c>
    </row>
    <row r="14">
      <c r="B14" s="4" t="s">
        <v>24</v>
      </c>
      <c r="C14" s="5" t="str">
        <f t="shared" ref="C14:D14" si="29">RIGHT(B14,LEN(B14)-FIND(",",B14))</f>
        <v>"Laughs and squeals","Engage in playful activities, tickle and make funny faces"</v>
      </c>
      <c r="D14" s="5" t="str">
        <f t="shared" si="29"/>
        <v>"Engage in playful activities, tickle and make funny faces"</v>
      </c>
      <c r="E14" s="5" t="str">
        <f t="shared" si="5"/>
        <v>Laughs and squeals</v>
      </c>
      <c r="F14" s="5" t="str">
        <f t="shared" si="6"/>
        <v>Engage in playful activities, tickle and make funny faces</v>
      </c>
      <c r="G14" s="5" t="str">
        <f t="shared" si="7"/>
        <v>3</v>
      </c>
      <c r="H14" s="5" t="str">
        <f t="shared" si="2"/>
        <v>3-6 months</v>
      </c>
      <c r="J14" s="6">
        <v>3.0</v>
      </c>
      <c r="K14" s="5" t="str">
        <f t="shared" ref="K14:L14" si="30">E14</f>
        <v>Laughs and squeals</v>
      </c>
      <c r="L14" s="5" t="str">
        <f t="shared" si="30"/>
        <v>Engage in playful activities, tickle and make funny faces</v>
      </c>
      <c r="M14" s="4">
        <v>3.0</v>
      </c>
      <c r="O14" s="4">
        <v>11.0</v>
      </c>
      <c r="P14" s="5">
        <f t="shared" si="9"/>
        <v>32</v>
      </c>
      <c r="Q14" s="5">
        <f t="shared" si="10"/>
        <v>41</v>
      </c>
    </row>
    <row r="15">
      <c r="B15" s="4" t="s">
        <v>25</v>
      </c>
      <c r="C15" s="5" t="str">
        <f t="shared" ref="C15:D15" si="31">RIGHT(B15,LEN(B15)-FIND(",",B15))</f>
        <v>"Holds head steady","Support sitting with pillows, practice head control"</v>
      </c>
      <c r="D15" s="5" t="str">
        <f t="shared" si="31"/>
        <v>"Support sitting with pillows, practice head control"</v>
      </c>
      <c r="E15" s="5" t="str">
        <f t="shared" si="5"/>
        <v>Holds head steady</v>
      </c>
      <c r="F15" s="5" t="str">
        <f t="shared" si="6"/>
        <v>Support sitting with pillows, practice head control</v>
      </c>
      <c r="G15" s="5" t="str">
        <f t="shared" si="7"/>
        <v>3</v>
      </c>
      <c r="H15" s="5" t="str">
        <f t="shared" si="2"/>
        <v>3-6 months</v>
      </c>
      <c r="J15" s="6">
        <v>3.0</v>
      </c>
      <c r="K15" s="5" t="str">
        <f t="shared" ref="K15:L15" si="32">E15</f>
        <v>Holds head steady</v>
      </c>
      <c r="L15" s="5" t="str">
        <f t="shared" si="32"/>
        <v>Support sitting with pillows, practice head control</v>
      </c>
      <c r="M15" s="4">
        <v>3.0</v>
      </c>
      <c r="O15" s="4">
        <v>12.0</v>
      </c>
      <c r="P15" s="5">
        <f t="shared" si="9"/>
        <v>41</v>
      </c>
      <c r="Q15" s="5">
        <f t="shared" si="10"/>
        <v>43</v>
      </c>
    </row>
    <row r="16">
      <c r="B16" s="4" t="s">
        <v>26</v>
      </c>
      <c r="C16" s="5" t="str">
        <f t="shared" ref="C16:D16" si="33">RIGHT(B16,LEN(B16)-FIND(",",B16))</f>
        <v>"Explores objects with hands and mouth","Offer safe, age-appropriate toys to explore"</v>
      </c>
      <c r="D16" s="5" t="str">
        <f t="shared" si="33"/>
        <v>"Offer safe, age-appropriate toys to explore"</v>
      </c>
      <c r="E16" s="5" t="str">
        <f t="shared" si="5"/>
        <v>Explores objects with hands and mouth</v>
      </c>
      <c r="F16" s="5" t="str">
        <f t="shared" si="6"/>
        <v>Offer safe, age-appropriate toys to explore</v>
      </c>
      <c r="G16" s="5" t="str">
        <f t="shared" si="7"/>
        <v>3</v>
      </c>
      <c r="H16" s="5" t="str">
        <f t="shared" si="2"/>
        <v>3-6 months</v>
      </c>
      <c r="J16" s="6">
        <v>3.0</v>
      </c>
      <c r="K16" s="5" t="str">
        <f t="shared" ref="K16:L16" si="34">E16</f>
        <v>Explores objects with hands and mouth</v>
      </c>
      <c r="L16" s="5" t="str">
        <f t="shared" si="34"/>
        <v>Offer safe, age-appropriate toys to explore</v>
      </c>
      <c r="M16" s="4">
        <v>3.0</v>
      </c>
      <c r="O16" s="4">
        <v>13.0</v>
      </c>
      <c r="P16" s="5">
        <f t="shared" si="9"/>
        <v>41</v>
      </c>
      <c r="Q16" s="5">
        <f t="shared" si="10"/>
        <v>48</v>
      </c>
    </row>
    <row r="17">
      <c r="B17" s="4" t="s">
        <v>27</v>
      </c>
      <c r="C17" s="5" t="str">
        <f t="shared" ref="C17:D17" si="35">RIGHT(B17,LEN(B17)-FIND(",",B17))</f>
        <v>"Sits with support","Use a high chair or lap for supported sitting"</v>
      </c>
      <c r="D17" s="5" t="str">
        <f t="shared" si="35"/>
        <v>"Use a high chair or lap for supported sitting"</v>
      </c>
      <c r="E17" s="5" t="str">
        <f t="shared" si="5"/>
        <v>Sits with support</v>
      </c>
      <c r="F17" s="5" t="str">
        <f t="shared" si="6"/>
        <v>Use a high chair or lap for supported sitting</v>
      </c>
      <c r="G17" s="5" t="str">
        <f t="shared" si="7"/>
        <v>3</v>
      </c>
      <c r="H17" s="5" t="str">
        <f t="shared" si="2"/>
        <v>3-6 months</v>
      </c>
      <c r="J17" s="6">
        <v>3.0</v>
      </c>
      <c r="K17" s="5" t="str">
        <f t="shared" ref="K17:L17" si="36">E17</f>
        <v>Sits with support</v>
      </c>
      <c r="L17" s="5" t="str">
        <f t="shared" si="36"/>
        <v>Use a high chair or lap for supported sitting</v>
      </c>
      <c r="M17" s="4">
        <v>3.0</v>
      </c>
      <c r="O17" s="4">
        <v>14.0</v>
      </c>
      <c r="P17" s="5">
        <f t="shared" si="9"/>
        <v>41</v>
      </c>
      <c r="Q17" s="5">
        <f t="shared" si="10"/>
        <v>55</v>
      </c>
    </row>
    <row r="18">
      <c r="B18" s="4" t="s">
        <v>28</v>
      </c>
      <c r="C18" s="5" t="str">
        <f t="shared" ref="C18:D18" si="37">RIGHT(B18,LEN(B18)-FIND(",",B18))</f>
        <v>"Pushes up on arms during tummy time","Place toys at eye level during tummy time"</v>
      </c>
      <c r="D18" s="5" t="str">
        <f t="shared" si="37"/>
        <v>"Place toys at eye level during tummy time"</v>
      </c>
      <c r="E18" s="5" t="str">
        <f t="shared" si="5"/>
        <v>Pushes up on arms during tummy time</v>
      </c>
      <c r="F18" s="5" t="str">
        <f t="shared" si="6"/>
        <v>Place toys at eye level during tummy time</v>
      </c>
      <c r="G18" s="5" t="str">
        <f t="shared" si="7"/>
        <v>3</v>
      </c>
      <c r="H18" s="5" t="str">
        <f t="shared" si="2"/>
        <v>3-6 months</v>
      </c>
      <c r="J18" s="6">
        <v>3.0</v>
      </c>
      <c r="K18" s="5" t="str">
        <f t="shared" ref="K18:L18" si="38">E18</f>
        <v>Pushes up on arms during tummy time</v>
      </c>
      <c r="L18" s="5" t="str">
        <f t="shared" si="38"/>
        <v>Place toys at eye level during tummy time</v>
      </c>
      <c r="M18" s="4">
        <v>3.0</v>
      </c>
      <c r="O18" s="4">
        <v>15.0</v>
      </c>
      <c r="P18" s="5">
        <f t="shared" si="9"/>
        <v>50</v>
      </c>
      <c r="Q18" s="5">
        <f t="shared" si="10"/>
        <v>59</v>
      </c>
    </row>
    <row r="19">
      <c r="B19" s="4" t="s">
        <v>29</v>
      </c>
      <c r="C19" s="5" t="str">
        <f t="shared" ref="C19:D19" si="39">RIGHT(B19,LEN(B19)-FIND(",",B19))</f>
        <v>"Sits without support","Support sitting with pillows, encourage independent sitting"</v>
      </c>
      <c r="D19" s="5" t="str">
        <f t="shared" si="39"/>
        <v>"Support sitting with pillows, encourage independent sitting"</v>
      </c>
      <c r="E19" s="5" t="str">
        <f t="shared" si="5"/>
        <v>Sits without support</v>
      </c>
      <c r="F19" s="5" t="str">
        <f t="shared" si="6"/>
        <v>Support sitting with pillows, encourage independent sitting</v>
      </c>
      <c r="G19" s="5" t="str">
        <f t="shared" si="7"/>
        <v>6</v>
      </c>
      <c r="H19" s="5" t="str">
        <f t="shared" si="2"/>
        <v>6-9 months</v>
      </c>
      <c r="J19" s="6">
        <v>6.0</v>
      </c>
      <c r="K19" s="5" t="str">
        <f t="shared" ref="K19:L19" si="40">E19</f>
        <v>Sits without support</v>
      </c>
      <c r="L19" s="5" t="str">
        <f t="shared" si="40"/>
        <v>Support sitting with pillows, encourage independent sitting</v>
      </c>
      <c r="M19" s="4">
        <v>3.0</v>
      </c>
      <c r="O19" s="4">
        <v>16.0</v>
      </c>
      <c r="P19" s="5">
        <f t="shared" si="9"/>
        <v>50</v>
      </c>
      <c r="Q19" s="5">
        <f t="shared" si="10"/>
        <v>59</v>
      </c>
    </row>
    <row r="20">
      <c r="B20" s="4" t="s">
        <v>30</v>
      </c>
      <c r="C20" s="5" t="str">
        <f t="shared" ref="C20:D20" si="41">RIGHT(B20,LEN(B20)-FIND(",",B20))</f>
        <v>"Babbles consonant sounds","Respond to babbling, repeat sounds back to the baby"</v>
      </c>
      <c r="D20" s="5" t="str">
        <f t="shared" si="41"/>
        <v>"Respond to babbling, repeat sounds back to the baby"</v>
      </c>
      <c r="E20" s="5" t="str">
        <f t="shared" si="5"/>
        <v>Babbles consonant sounds</v>
      </c>
      <c r="F20" s="5" t="str">
        <f t="shared" si="6"/>
        <v>Respond to babbling, repeat sounds back to the baby</v>
      </c>
      <c r="G20" s="5" t="str">
        <f t="shared" si="7"/>
        <v>6</v>
      </c>
      <c r="H20" s="5" t="str">
        <f t="shared" si="2"/>
        <v>6-9 months</v>
      </c>
      <c r="J20" s="6">
        <v>6.0</v>
      </c>
      <c r="K20" s="5" t="str">
        <f t="shared" ref="K20:L20" si="42">E20</f>
        <v>Babbles consonant sounds</v>
      </c>
      <c r="L20" s="5" t="str">
        <f t="shared" si="42"/>
        <v>Respond to babbling, repeat sounds back to the baby</v>
      </c>
      <c r="M20" s="4">
        <v>3.0</v>
      </c>
      <c r="O20" s="4">
        <v>17.0</v>
      </c>
      <c r="P20" s="5">
        <f t="shared" si="9"/>
        <v>50</v>
      </c>
      <c r="Q20" s="5">
        <f t="shared" si="10"/>
        <v>62</v>
      </c>
    </row>
    <row r="21">
      <c r="B21" s="4" t="s">
        <v>31</v>
      </c>
      <c r="C21" s="5" t="str">
        <f t="shared" ref="C21:D21" si="43">RIGHT(B21,LEN(B21)-FIND(",",B21))</f>
        <v>"Transfers objects between hands","Provide toys that are easy to grasp and pass"</v>
      </c>
      <c r="D21" s="5" t="str">
        <f t="shared" si="43"/>
        <v>"Provide toys that are easy to grasp and pass"</v>
      </c>
      <c r="E21" s="5" t="str">
        <f t="shared" si="5"/>
        <v>Transfers objects between hands</v>
      </c>
      <c r="F21" s="5" t="str">
        <f t="shared" si="6"/>
        <v>Provide toys that are easy to grasp and pass</v>
      </c>
      <c r="G21" s="5" t="str">
        <f t="shared" si="7"/>
        <v>6</v>
      </c>
      <c r="H21" s="5" t="str">
        <f t="shared" si="2"/>
        <v>6-9 months</v>
      </c>
      <c r="J21" s="6">
        <v>6.0</v>
      </c>
      <c r="K21" s="5" t="str">
        <f t="shared" ref="K21:L21" si="44">E21</f>
        <v>Transfers objects between hands</v>
      </c>
      <c r="L21" s="5" t="str">
        <f t="shared" si="44"/>
        <v>Provide toys that are easy to grasp and pass</v>
      </c>
      <c r="M21" s="4">
        <v>3.0</v>
      </c>
      <c r="O21" s="4">
        <v>18.0</v>
      </c>
      <c r="P21" s="5">
        <f t="shared" si="9"/>
        <v>59</v>
      </c>
      <c r="Q21" s="5">
        <f t="shared" si="10"/>
        <v>62</v>
      </c>
    </row>
    <row r="22">
      <c r="B22" s="4" t="s">
        <v>32</v>
      </c>
      <c r="C22" s="5" t="str">
        <f t="shared" ref="C22:D22" si="45">RIGHT(B22,LEN(B22)-FIND(",",B22))</f>
        <v>"Supports weight on legs when held upright","Hold baby upright and let them bounce"</v>
      </c>
      <c r="D22" s="5" t="str">
        <f t="shared" si="45"/>
        <v>"Hold baby upright and let them bounce"</v>
      </c>
      <c r="E22" s="5" t="str">
        <f t="shared" si="5"/>
        <v>Supports weight on legs when held upright</v>
      </c>
      <c r="F22" s="5" t="str">
        <f t="shared" si="6"/>
        <v>Hold baby upright and let them bounce</v>
      </c>
      <c r="G22" s="5" t="str">
        <f t="shared" si="7"/>
        <v>6</v>
      </c>
      <c r="H22" s="5" t="str">
        <f t="shared" si="2"/>
        <v>6-9 months</v>
      </c>
      <c r="J22" s="6">
        <v>6.0</v>
      </c>
      <c r="K22" s="5" t="str">
        <f t="shared" ref="K22:L22" si="46">E22</f>
        <v>Supports weight on legs when held upright</v>
      </c>
      <c r="L22" s="5" t="str">
        <f t="shared" si="46"/>
        <v>Hold baby upright and let them bounce</v>
      </c>
      <c r="M22" s="4">
        <v>4.0</v>
      </c>
      <c r="O22" s="4">
        <v>19.0</v>
      </c>
      <c r="P22" s="5">
        <f t="shared" si="9"/>
        <v>59</v>
      </c>
      <c r="Q22" s="5">
        <f t="shared" si="10"/>
        <v>67</v>
      </c>
    </row>
    <row r="23">
      <c r="B23" s="4" t="s">
        <v>33</v>
      </c>
      <c r="C23" s="5" t="str">
        <f t="shared" ref="C23:D23" si="47">RIGHT(B23,LEN(B23)-FIND(",",B23))</f>
        <v>"Explores objects by shaking, banging, and throwing","Provide safe objects to explore"</v>
      </c>
      <c r="D23" s="5" t="str">
        <f t="shared" si="47"/>
        <v> banging, and throwing","Provide safe objects to explore"</v>
      </c>
      <c r="E23" s="5" t="str">
        <f t="shared" si="5"/>
        <v>Explores objects by shakin</v>
      </c>
      <c r="F23" s="5" t="str">
        <f t="shared" si="6"/>
        <v>banging, and throwing","Provide safe objects to explore</v>
      </c>
      <c r="G23" s="5" t="str">
        <f t="shared" si="7"/>
        <v>6</v>
      </c>
      <c r="H23" s="5" t="str">
        <f t="shared" si="2"/>
        <v>6-9 months</v>
      </c>
      <c r="J23" s="6">
        <v>6.0</v>
      </c>
      <c r="K23" s="5" t="str">
        <f t="shared" ref="K23:L23" si="48">E23</f>
        <v>Explores objects by shakin</v>
      </c>
      <c r="L23" s="5" t="str">
        <f t="shared" si="48"/>
        <v>banging, and throwing","Provide safe objects to explore</v>
      </c>
      <c r="M23" s="4">
        <v>3.0</v>
      </c>
      <c r="O23" s="4">
        <v>20.0</v>
      </c>
      <c r="P23" s="5">
        <f t="shared" si="9"/>
        <v>59</v>
      </c>
      <c r="Q23" s="5">
        <f t="shared" si="10"/>
        <v>69</v>
      </c>
    </row>
    <row r="24">
      <c r="B24" s="4" t="s">
        <v>34</v>
      </c>
      <c r="C24" s="5" t="str">
        <f t="shared" ref="C24:D24" si="49">RIGHT(B24,LEN(B24)-FIND(",",B24))</f>
        <v>"Responds to own name","Use the baby's name frequently in conversation"</v>
      </c>
      <c r="D24" s="5" t="str">
        <f t="shared" si="49"/>
        <v>"Use the baby's name frequently in conversation"</v>
      </c>
      <c r="E24" s="5" t="str">
        <f t="shared" si="5"/>
        <v>Responds to own name</v>
      </c>
      <c r="F24" s="5" t="str">
        <f t="shared" si="6"/>
        <v>Use the baby's name frequently in conversation</v>
      </c>
      <c r="G24" s="5" t="str">
        <f t="shared" si="7"/>
        <v>6</v>
      </c>
      <c r="H24" s="5" t="str">
        <f t="shared" si="2"/>
        <v>6-9 months</v>
      </c>
      <c r="J24" s="6">
        <v>6.0</v>
      </c>
      <c r="K24" s="5" t="str">
        <f t="shared" ref="K24:L24" si="50">E24</f>
        <v>Responds to own name</v>
      </c>
      <c r="L24" s="5" t="str">
        <f t="shared" si="50"/>
        <v>Use the baby's name frequently in conversation</v>
      </c>
      <c r="M24" s="4">
        <v>4.0</v>
      </c>
      <c r="O24" s="4">
        <v>21.0</v>
      </c>
      <c r="P24" s="5">
        <f t="shared" si="9"/>
        <v>69</v>
      </c>
      <c r="Q24" s="5">
        <f t="shared" si="10"/>
        <v>81</v>
      </c>
    </row>
    <row r="25">
      <c r="B25" s="4" t="s">
        <v>35</v>
      </c>
      <c r="C25" s="5" t="str">
        <f t="shared" ref="C25:D25" si="51">RIGHT(B25,LEN(B25)-FIND(",",B25))</f>
        <v>"Plays peek-a-boo","Engage in peek-a-boo games to develop object permanence"</v>
      </c>
      <c r="D25" s="5" t="str">
        <f t="shared" si="51"/>
        <v>"Engage in peek-a-boo games to develop object permanence"</v>
      </c>
      <c r="E25" s="5" t="str">
        <f t="shared" si="5"/>
        <v>Plays peek-a-boo</v>
      </c>
      <c r="F25" s="5" t="str">
        <f t="shared" si="6"/>
        <v>Engage in peek-a-boo games to develop object permanence</v>
      </c>
      <c r="G25" s="5" t="str">
        <f t="shared" si="7"/>
        <v>6</v>
      </c>
      <c r="H25" s="5" t="str">
        <f t="shared" si="2"/>
        <v>6-9 months</v>
      </c>
      <c r="J25" s="6">
        <v>6.0</v>
      </c>
      <c r="K25" s="5" t="str">
        <f t="shared" ref="K25:L25" si="52">E25</f>
        <v>Plays peek-a-boo</v>
      </c>
      <c r="L25" s="5" t="str">
        <f t="shared" si="52"/>
        <v>Engage in peek-a-boo games to develop object permanence</v>
      </c>
      <c r="M25" s="4">
        <v>4.0</v>
      </c>
      <c r="O25" s="4">
        <v>22.0</v>
      </c>
      <c r="P25" s="5">
        <f t="shared" si="9"/>
        <v>69</v>
      </c>
      <c r="Q25" s="5">
        <f t="shared" si="10"/>
        <v>87</v>
      </c>
    </row>
    <row r="26">
      <c r="B26" s="4" t="s">
        <v>36</v>
      </c>
      <c r="C26" s="5" t="str">
        <f t="shared" ref="C26:D26" si="53">RIGHT(B26,LEN(B26)-FIND(",",B26))</f>
        <v>"Shows stranger anxiety","Introduce new people gradually, stay close for comfort"</v>
      </c>
      <c r="D26" s="5" t="str">
        <f t="shared" si="53"/>
        <v>"Introduce new people gradually, stay close for comfort"</v>
      </c>
      <c r="E26" s="5" t="str">
        <f t="shared" si="5"/>
        <v>Shows stranger anxiety</v>
      </c>
      <c r="F26" s="5" t="str">
        <f t="shared" si="6"/>
        <v>Introduce new people gradually, stay close for comfort</v>
      </c>
      <c r="G26" s="5" t="str">
        <f t="shared" si="7"/>
        <v>6</v>
      </c>
      <c r="H26" s="5" t="str">
        <f t="shared" si="2"/>
        <v>6-9 months</v>
      </c>
      <c r="J26" s="6">
        <v>6.0</v>
      </c>
      <c r="K26" s="5" t="str">
        <f t="shared" ref="K26:L26" si="54">E26</f>
        <v>Shows stranger anxiety</v>
      </c>
      <c r="L26" s="5" t="str">
        <f t="shared" si="54"/>
        <v>Introduce new people gradually, stay close for comfort</v>
      </c>
      <c r="M26" s="4">
        <v>4.0</v>
      </c>
      <c r="O26" s="4">
        <v>23.0</v>
      </c>
      <c r="P26" s="5">
        <f t="shared" si="9"/>
        <v>69</v>
      </c>
      <c r="Q26" s="5">
        <f t="shared" si="10"/>
        <v>89</v>
      </c>
    </row>
    <row r="27">
      <c r="B27" s="4" t="s">
        <v>37</v>
      </c>
      <c r="C27" s="5" t="str">
        <f t="shared" ref="C27:D27" si="55">RIGHT(B27,LEN(B27)-FIND(",",B27))</f>
        <v>"Crawls","Create a safe space for crawling, place toys to encourage movement"</v>
      </c>
      <c r="D27" s="5" t="str">
        <f t="shared" si="55"/>
        <v>"Create a safe space for crawling, place toys to encourage movement"</v>
      </c>
      <c r="E27" s="5" t="str">
        <f t="shared" si="5"/>
        <v>Crawls</v>
      </c>
      <c r="F27" s="5" t="str">
        <f t="shared" si="6"/>
        <v>Create a safe space for crawling, place toys to encourage movement</v>
      </c>
      <c r="G27" s="5" t="str">
        <f t="shared" si="7"/>
        <v>9</v>
      </c>
      <c r="H27" s="5" t="str">
        <f t="shared" si="2"/>
        <v>9-12 months</v>
      </c>
      <c r="J27" s="6">
        <v>9.0</v>
      </c>
      <c r="K27" s="5" t="str">
        <f t="shared" ref="K27:L27" si="56">E27</f>
        <v>Crawls</v>
      </c>
      <c r="L27" s="5" t="str">
        <f t="shared" si="56"/>
        <v>Create a safe space for crawling, place toys to encourage movement</v>
      </c>
      <c r="M27" s="4">
        <v>5.0</v>
      </c>
      <c r="O27" s="4">
        <v>24.0</v>
      </c>
      <c r="P27" s="5">
        <f t="shared" si="9"/>
        <v>80</v>
      </c>
      <c r="Q27" s="5">
        <f t="shared" si="10"/>
        <v>92</v>
      </c>
    </row>
    <row r="28">
      <c r="B28" s="4" t="s">
        <v>38</v>
      </c>
      <c r="C28" s="5" t="str">
        <f t="shared" ref="C28:D28" si="57">RIGHT(B28,LEN(B28)-FIND(",",B28))</f>
        <v>"Stands with support","Provide sturdy furniture for pulling up, offer hands for support"</v>
      </c>
      <c r="D28" s="5" t="str">
        <f t="shared" si="57"/>
        <v>"Provide sturdy furniture for pulling up, offer hands for support"</v>
      </c>
      <c r="E28" s="5" t="str">
        <f t="shared" si="5"/>
        <v>Stands with support</v>
      </c>
      <c r="F28" s="5" t="str">
        <f t="shared" si="6"/>
        <v>Provide sturdy furniture for pulling up, offer hands for support</v>
      </c>
      <c r="G28" s="5" t="str">
        <f t="shared" si="7"/>
        <v>9</v>
      </c>
      <c r="H28" s="5" t="str">
        <f t="shared" si="2"/>
        <v>9-12 months</v>
      </c>
      <c r="J28" s="6">
        <v>9.0</v>
      </c>
      <c r="K28" s="5" t="str">
        <f t="shared" ref="K28:L28" si="58">E28</f>
        <v>Stands with support</v>
      </c>
      <c r="L28" s="5" t="str">
        <f t="shared" si="58"/>
        <v>Provide sturdy furniture for pulling up, offer hands for support</v>
      </c>
      <c r="M28" s="4">
        <v>7.0</v>
      </c>
      <c r="O28" s="4">
        <v>25.0</v>
      </c>
      <c r="P28" s="5">
        <f t="shared" si="9"/>
        <v>80</v>
      </c>
      <c r="Q28" s="5">
        <f t="shared" si="10"/>
        <v>100</v>
      </c>
    </row>
    <row r="29">
      <c r="B29" s="4" t="s">
        <v>39</v>
      </c>
      <c r="C29" s="5" t="str">
        <f t="shared" ref="C29:D29" si="59">RIGHT(B29,LEN(B29)-FIND(",",B29))</f>
        <v>"Understands simple words like 'no'","Use clear and consistent language, provide gentle correction"</v>
      </c>
      <c r="D29" s="5" t="str">
        <f t="shared" si="59"/>
        <v>"Use clear and consistent language, provide gentle correction"</v>
      </c>
      <c r="E29" s="5" t="str">
        <f t="shared" si="5"/>
        <v>Understands simple words like 'no'</v>
      </c>
      <c r="F29" s="5" t="str">
        <f t="shared" si="6"/>
        <v>Use clear and consistent language, provide gentle correction</v>
      </c>
      <c r="G29" s="5" t="str">
        <f t="shared" si="7"/>
        <v>9</v>
      </c>
      <c r="H29" s="5" t="str">
        <f t="shared" si="2"/>
        <v>9-12 months</v>
      </c>
      <c r="J29" s="6">
        <v>9.0</v>
      </c>
      <c r="K29" s="5" t="str">
        <f t="shared" ref="K29:L29" si="60">E29</f>
        <v>Understands simple words like 'no'</v>
      </c>
      <c r="L29" s="5" t="str">
        <f t="shared" si="60"/>
        <v>Use clear and consistent language, provide gentle correction</v>
      </c>
      <c r="M29" s="4">
        <v>7.0</v>
      </c>
      <c r="O29" s="4">
        <v>26.0</v>
      </c>
      <c r="P29" s="5">
        <f t="shared" si="9"/>
        <v>80</v>
      </c>
      <c r="Q29" s="5">
        <f t="shared" si="10"/>
        <v>112</v>
      </c>
    </row>
    <row r="30">
      <c r="B30" s="4" t="s">
        <v>40</v>
      </c>
      <c r="C30" s="5" t="str">
        <f t="shared" ref="C30:D30" si="61">RIGHT(B30,LEN(B30)-FIND(",",B30))</f>
        <v>"Claps hands","Demonstrate clapping, sing songs with clapping"</v>
      </c>
      <c r="D30" s="5" t="str">
        <f t="shared" si="61"/>
        <v>"Demonstrate clapping, sing songs with clapping"</v>
      </c>
      <c r="E30" s="5" t="str">
        <f t="shared" si="5"/>
        <v>Claps hands</v>
      </c>
      <c r="F30" s="5" t="str">
        <f t="shared" si="6"/>
        <v>Demonstrate clapping, sing songs with clapping</v>
      </c>
      <c r="G30" s="5" t="str">
        <f t="shared" si="7"/>
        <v>9</v>
      </c>
      <c r="H30" s="5" t="str">
        <f t="shared" si="2"/>
        <v>9-12 months</v>
      </c>
      <c r="J30" s="6">
        <v>9.0</v>
      </c>
      <c r="K30" s="5" t="str">
        <f t="shared" ref="K30:L30" si="62">E30</f>
        <v>Claps hands</v>
      </c>
      <c r="L30" s="5" t="str">
        <f t="shared" si="62"/>
        <v>Demonstrate clapping, sing songs with clapping</v>
      </c>
      <c r="M30" s="4">
        <v>7.0</v>
      </c>
      <c r="O30" s="4">
        <v>27.0</v>
      </c>
      <c r="P30" s="5">
        <f t="shared" si="9"/>
        <v>90</v>
      </c>
      <c r="Q30" s="5">
        <f t="shared" si="10"/>
        <v>112</v>
      </c>
    </row>
    <row r="31">
      <c r="B31" s="4" t="s">
        <v>41</v>
      </c>
      <c r="C31" s="5" t="str">
        <f t="shared" ref="C31:D31" si="63">RIGHT(B31,LEN(B31)-FIND(",",B31))</f>
        <v>"Waves bye-bye","Model waving, encourage waving during greetings and goodbyes"</v>
      </c>
      <c r="D31" s="5" t="str">
        <f t="shared" si="63"/>
        <v>"Model waving, encourage waving during greetings and goodbyes"</v>
      </c>
      <c r="E31" s="5" t="str">
        <f t="shared" si="5"/>
        <v>Waves bye-bye</v>
      </c>
      <c r="F31" s="5" t="str">
        <f t="shared" si="6"/>
        <v>Model waving, encourage waving during greetings and goodbyes</v>
      </c>
      <c r="G31" s="5" t="str">
        <f t="shared" si="7"/>
        <v>9</v>
      </c>
      <c r="H31" s="5" t="str">
        <f t="shared" si="2"/>
        <v>9-12 months</v>
      </c>
      <c r="J31" s="6">
        <v>9.0</v>
      </c>
      <c r="K31" s="5" t="str">
        <f t="shared" ref="K31:L31" si="64">E31</f>
        <v>Waves bye-bye</v>
      </c>
      <c r="L31" s="5" t="str">
        <f t="shared" si="64"/>
        <v>Model waving, encourage waving during greetings and goodbyes</v>
      </c>
      <c r="M31" s="4">
        <v>7.0</v>
      </c>
      <c r="O31" s="4">
        <v>28.0</v>
      </c>
      <c r="P31" s="5">
        <f t="shared" si="9"/>
        <v>90</v>
      </c>
      <c r="Q31" s="5">
        <f t="shared" si="10"/>
        <v>122</v>
      </c>
    </row>
    <row r="32">
      <c r="B32" s="4" t="s">
        <v>42</v>
      </c>
      <c r="C32" s="5" t="str">
        <f t="shared" ref="C32:D32" si="65">RIGHT(B32,LEN(B32)-FIND(",",B32))</f>
        <v>"Responds to 'come here'","Encourage following directions, use gestures"</v>
      </c>
      <c r="D32" s="5" t="str">
        <f t="shared" si="65"/>
        <v>"Encourage following directions, use gestures"</v>
      </c>
      <c r="E32" s="5" t="str">
        <f t="shared" si="5"/>
        <v>Responds to 'come here'</v>
      </c>
      <c r="F32" s="5" t="str">
        <f t="shared" si="6"/>
        <v>Encourage following directions, use gestures</v>
      </c>
      <c r="G32" s="5" t="str">
        <f t="shared" si="7"/>
        <v>9</v>
      </c>
      <c r="H32" s="5" t="str">
        <f t="shared" si="2"/>
        <v>9-12 months</v>
      </c>
      <c r="J32" s="6">
        <v>9.0</v>
      </c>
      <c r="K32" s="5" t="str">
        <f t="shared" ref="K32:L32" si="66">E32</f>
        <v>Responds to 'come here'</v>
      </c>
      <c r="L32" s="5" t="str">
        <f t="shared" si="66"/>
        <v>Encourage following directions, use gestures</v>
      </c>
      <c r="M32" s="4">
        <v>7.0</v>
      </c>
      <c r="O32" s="4">
        <v>29.0</v>
      </c>
      <c r="P32" s="5">
        <f t="shared" si="9"/>
        <v>90</v>
      </c>
      <c r="Q32" s="5">
        <f t="shared" si="10"/>
        <v>123</v>
      </c>
    </row>
    <row r="33">
      <c r="B33" s="4" t="s">
        <v>43</v>
      </c>
      <c r="C33" s="5" t="str">
        <f t="shared" ref="C33:D33" si="67">RIGHT(B33,LEN(B33)-FIND(",",B33))</f>
        <v>"Picks up small objects with thumb and forefinger","Provide small, safe objects for pincer grasp practice"</v>
      </c>
      <c r="D33" s="5" t="str">
        <f t="shared" si="67"/>
        <v>"Provide small, safe objects for pincer grasp practice"</v>
      </c>
      <c r="E33" s="5" t="str">
        <f t="shared" si="5"/>
        <v>Picks up small objects with thumb and forefinger</v>
      </c>
      <c r="F33" s="5" t="str">
        <f t="shared" si="6"/>
        <v>Provide small, safe objects for pincer grasp practice</v>
      </c>
      <c r="G33" s="5" t="str">
        <f t="shared" si="7"/>
        <v>9</v>
      </c>
      <c r="H33" s="5" t="str">
        <f t="shared" si="2"/>
        <v>9-12 months</v>
      </c>
      <c r="J33" s="6">
        <v>9.0</v>
      </c>
      <c r="K33" s="5" t="str">
        <f t="shared" ref="K33:L33" si="68">E33</f>
        <v>Picks up small objects with thumb and forefinger</v>
      </c>
      <c r="L33" s="5" t="str">
        <f t="shared" si="68"/>
        <v>Provide small, safe objects for pincer grasp practice</v>
      </c>
      <c r="M33" s="4">
        <v>8.0</v>
      </c>
      <c r="O33" s="4">
        <v>30.0</v>
      </c>
      <c r="P33" s="5">
        <f t="shared" si="9"/>
        <v>100</v>
      </c>
      <c r="Q33" s="5">
        <f t="shared" si="10"/>
        <v>123</v>
      </c>
    </row>
    <row r="34">
      <c r="B34" s="4" t="s">
        <v>44</v>
      </c>
      <c r="C34" s="5" t="str">
        <f t="shared" ref="C34:D34" si="69">RIGHT(B34,LEN(B34)-FIND(",",B34))</f>
        <v>"Shows interest in books and pictures","Read to the baby, show and name pictures"</v>
      </c>
      <c r="D34" s="5" t="str">
        <f t="shared" si="69"/>
        <v>"Read to the baby, show and name pictures"</v>
      </c>
      <c r="E34" s="5" t="str">
        <f t="shared" si="5"/>
        <v>Shows interest in books and pictures</v>
      </c>
      <c r="F34" s="5" t="str">
        <f t="shared" si="6"/>
        <v>Read to the baby, show and name pictures</v>
      </c>
      <c r="G34" s="5" t="str">
        <f t="shared" si="7"/>
        <v>9</v>
      </c>
      <c r="H34" s="5" t="str">
        <f t="shared" si="2"/>
        <v>9-12 months</v>
      </c>
      <c r="J34" s="6">
        <v>9.0</v>
      </c>
      <c r="K34" s="5" t="str">
        <f t="shared" ref="K34:L34" si="70">E34</f>
        <v>Shows interest in books and pictures</v>
      </c>
      <c r="L34" s="5" t="str">
        <f t="shared" si="70"/>
        <v>Read to the baby, show and name pictures</v>
      </c>
      <c r="M34" s="4">
        <v>6.0</v>
      </c>
      <c r="O34" s="4">
        <v>31.0</v>
      </c>
      <c r="P34" s="5">
        <f t="shared" si="9"/>
        <v>100</v>
      </c>
      <c r="Q34" s="5">
        <f t="shared" si="10"/>
        <v>123</v>
      </c>
    </row>
    <row r="35">
      <c r="B35" s="4" t="s">
        <v>45</v>
      </c>
      <c r="C35" s="5" t="str">
        <f t="shared" ref="C35:D35" si="71">RIGHT(B35,LEN(B35)-FIND(",",B35))</f>
        <v>"Walks independently","Encourage walking by holding hands, provide push toys"</v>
      </c>
      <c r="D35" s="5" t="str">
        <f t="shared" si="71"/>
        <v>"Encourage walking by holding hands, provide push toys"</v>
      </c>
      <c r="E35" s="5" t="str">
        <f t="shared" si="5"/>
        <v>Walks independently</v>
      </c>
      <c r="F35" s="5" t="str">
        <f t="shared" si="6"/>
        <v>Encourage walking by holding hands, provide push toys</v>
      </c>
      <c r="G35" s="5" t="str">
        <f t="shared" si="7"/>
        <v>12</v>
      </c>
      <c r="H35" s="5" t="str">
        <f t="shared" si="2"/>
        <v>12-15 months</v>
      </c>
      <c r="J35" s="6">
        <v>12.0</v>
      </c>
      <c r="K35" s="5" t="str">
        <f t="shared" ref="K35:L35" si="72">E35</f>
        <v>Walks independently</v>
      </c>
      <c r="L35" s="5" t="str">
        <f t="shared" si="72"/>
        <v>Encourage walking by holding hands, provide push toys</v>
      </c>
      <c r="M35" s="4">
        <v>10.0</v>
      </c>
      <c r="O35" s="4">
        <v>32.0</v>
      </c>
      <c r="P35" s="5">
        <f t="shared" si="9"/>
        <v>100</v>
      </c>
      <c r="Q35" s="5">
        <f t="shared" si="10"/>
        <v>123</v>
      </c>
    </row>
    <row r="36">
      <c r="B36" s="4" t="s">
        <v>46</v>
      </c>
      <c r="C36" s="5" t="str">
        <f t="shared" ref="C36:D36" si="73">RIGHT(B36,LEN(B36)-FIND(",",B36))</f>
        <v>"Says first words","Name objects and people consistently, read books together"</v>
      </c>
      <c r="D36" s="5" t="str">
        <f t="shared" si="73"/>
        <v>"Name objects and people consistently, read books together"</v>
      </c>
      <c r="E36" s="5" t="str">
        <f t="shared" si="5"/>
        <v>Says first words</v>
      </c>
      <c r="F36" s="5" t="str">
        <f t="shared" si="6"/>
        <v>Name objects and people consistently, read books together</v>
      </c>
      <c r="G36" s="5" t="str">
        <f t="shared" si="7"/>
        <v>12</v>
      </c>
      <c r="H36" s="5" t="str">
        <f t="shared" si="2"/>
        <v>12-15 months</v>
      </c>
      <c r="J36" s="6">
        <v>12.0</v>
      </c>
      <c r="K36" s="5" t="str">
        <f t="shared" ref="K36:L36" si="74">E36</f>
        <v>Says first words</v>
      </c>
      <c r="L36" s="5" t="str">
        <f t="shared" si="74"/>
        <v>Name objects and people consistently, read books together</v>
      </c>
      <c r="M36" s="4">
        <v>10.0</v>
      </c>
      <c r="O36" s="4">
        <v>33.0</v>
      </c>
      <c r="P36" s="5">
        <f t="shared" si="9"/>
        <v>116</v>
      </c>
      <c r="Q36" s="5">
        <f t="shared" si="10"/>
        <v>123</v>
      </c>
    </row>
    <row r="37">
      <c r="B37" s="4" t="s">
        <v>47</v>
      </c>
      <c r="C37" s="5" t="str">
        <f t="shared" ref="C37:D37" si="75">RIGHT(B37,LEN(B37)-FIND(",",B37))</f>
        <v>"Points to objects","Model pointing and naming objects, engage in pointing games"</v>
      </c>
      <c r="D37" s="5" t="str">
        <f t="shared" si="75"/>
        <v>"Model pointing and naming objects, engage in pointing games"</v>
      </c>
      <c r="E37" s="5" t="str">
        <f t="shared" si="5"/>
        <v>Points to objects</v>
      </c>
      <c r="F37" s="5" t="str">
        <f t="shared" si="6"/>
        <v>Model pointing and naming objects, engage in pointing games</v>
      </c>
      <c r="G37" s="5" t="str">
        <f t="shared" si="7"/>
        <v>12</v>
      </c>
      <c r="H37" s="5" t="str">
        <f t="shared" si="2"/>
        <v>12-15 months</v>
      </c>
      <c r="J37" s="6">
        <v>12.0</v>
      </c>
      <c r="K37" s="5" t="str">
        <f t="shared" ref="K37:L37" si="76">E37</f>
        <v>Points to objects</v>
      </c>
      <c r="L37" s="5" t="str">
        <f t="shared" si="76"/>
        <v>Model pointing and naming objects, engage in pointing games</v>
      </c>
      <c r="M37" s="4">
        <v>10.0</v>
      </c>
      <c r="O37" s="4">
        <v>34.0</v>
      </c>
      <c r="P37" s="5">
        <f t="shared" si="9"/>
        <v>116</v>
      </c>
      <c r="Q37" s="5">
        <f t="shared" si="10"/>
        <v>123</v>
      </c>
    </row>
    <row r="38">
      <c r="B38" s="4" t="s">
        <v>48</v>
      </c>
      <c r="C38" s="5" t="str">
        <f t="shared" ref="C38:D38" si="77">RIGHT(B38,LEN(B38)-FIND(",",B38))</f>
        <v>"Feeds self with fingers","Offer finger foods, encourage self-feeding"</v>
      </c>
      <c r="D38" s="5" t="str">
        <f t="shared" si="77"/>
        <v>"Offer finger foods, encourage self-feeding"</v>
      </c>
      <c r="E38" s="5" t="str">
        <f t="shared" si="5"/>
        <v>Feeds self with fingers</v>
      </c>
      <c r="F38" s="5" t="str">
        <f t="shared" si="6"/>
        <v>Offer finger foods, encourage self-feeding</v>
      </c>
      <c r="G38" s="5" t="str">
        <f t="shared" si="7"/>
        <v>12</v>
      </c>
      <c r="H38" s="5" t="str">
        <f t="shared" si="2"/>
        <v>12-15 months</v>
      </c>
      <c r="J38" s="6">
        <v>12.0</v>
      </c>
      <c r="K38" s="5" t="str">
        <f t="shared" ref="K38:L38" si="78">E38</f>
        <v>Feeds self with fingers</v>
      </c>
      <c r="L38" s="5" t="str">
        <f t="shared" si="78"/>
        <v>Offer finger foods, encourage self-feeding</v>
      </c>
      <c r="M38" s="4">
        <v>11.0</v>
      </c>
      <c r="O38" s="4">
        <v>35.0</v>
      </c>
      <c r="P38" s="5">
        <f t="shared" si="9"/>
        <v>116</v>
      </c>
      <c r="Q38" s="5">
        <f t="shared" si="10"/>
        <v>123</v>
      </c>
    </row>
    <row r="39">
      <c r="B39" s="4" t="s">
        <v>49</v>
      </c>
      <c r="C39" s="5" t="str">
        <f t="shared" ref="C39:D39" si="79">RIGHT(B39,LEN(B39)-FIND(",",B39))</f>
        <v>"Drinks from a cup","Provide a sippy cup, practice drinking from a cup"</v>
      </c>
      <c r="D39" s="5" t="str">
        <f t="shared" si="79"/>
        <v>"Provide a sippy cup, practice drinking from a cup"</v>
      </c>
      <c r="E39" s="5" t="str">
        <f t="shared" si="5"/>
        <v>Drinks from a cup</v>
      </c>
      <c r="F39" s="5" t="str">
        <f t="shared" si="6"/>
        <v>Provide a sippy cup, practice drinking from a cup</v>
      </c>
      <c r="G39" s="5" t="str">
        <f t="shared" si="7"/>
        <v>12</v>
      </c>
      <c r="H39" s="5" t="str">
        <f t="shared" si="2"/>
        <v>12-15 months</v>
      </c>
      <c r="J39" s="6">
        <v>12.0</v>
      </c>
      <c r="K39" s="5" t="str">
        <f t="shared" ref="K39:L39" si="80">E39</f>
        <v>Drinks from a cup</v>
      </c>
      <c r="L39" s="5" t="str">
        <f t="shared" si="80"/>
        <v>Provide a sippy cup, practice drinking from a cup</v>
      </c>
      <c r="M39" s="4">
        <v>11.0</v>
      </c>
      <c r="O39" s="4">
        <v>36.0</v>
      </c>
      <c r="P39" s="5">
        <f t="shared" si="9"/>
        <v>136</v>
      </c>
      <c r="Q39" s="5">
        <f t="shared" si="10"/>
        <v>123</v>
      </c>
    </row>
    <row r="40">
      <c r="B40" s="4" t="s">
        <v>50</v>
      </c>
      <c r="C40" s="5" t="str">
        <f t="shared" ref="C40:D40" si="81">RIGHT(B40,LEN(B40)-FIND(",",B40))</f>
        <v>"Imitates simple actions","Play imitation games, model simple actions"</v>
      </c>
      <c r="D40" s="5" t="str">
        <f t="shared" si="81"/>
        <v>"Play imitation games, model simple actions"</v>
      </c>
      <c r="E40" s="5" t="str">
        <f t="shared" si="5"/>
        <v>Imitates simple actions</v>
      </c>
      <c r="F40" s="5" t="str">
        <f t="shared" si="6"/>
        <v>Play imitation games, model simple actions</v>
      </c>
      <c r="G40" s="5" t="str">
        <f t="shared" si="7"/>
        <v>12</v>
      </c>
      <c r="H40" s="5" t="str">
        <f t="shared" si="2"/>
        <v>12-15 months</v>
      </c>
      <c r="J40" s="6">
        <v>12.0</v>
      </c>
      <c r="K40" s="5" t="str">
        <f t="shared" ref="K40:L40" si="82">E40</f>
        <v>Imitates simple actions</v>
      </c>
      <c r="L40" s="5" t="str">
        <f t="shared" si="82"/>
        <v>Play imitation games, model simple actions</v>
      </c>
      <c r="M40" s="4">
        <v>11.0</v>
      </c>
    </row>
    <row r="41">
      <c r="B41" s="4" t="s">
        <v>51</v>
      </c>
      <c r="C41" s="5" t="str">
        <f t="shared" ref="C41:D41" si="83">RIGHT(B41,LEN(B41)-FIND(",",B41))</f>
        <v>"Follows simple directions","Give clear, simple instructions, praise compliance"</v>
      </c>
      <c r="D41" s="5" t="str">
        <f t="shared" si="83"/>
        <v>"Give clear, simple instructions, praise compliance"</v>
      </c>
      <c r="E41" s="5" t="str">
        <f t="shared" si="5"/>
        <v>Follows simple directions</v>
      </c>
      <c r="F41" s="5" t="str">
        <f t="shared" si="6"/>
        <v>Give clear, simple instructions, praise compliance</v>
      </c>
      <c r="G41" s="5" t="str">
        <f t="shared" si="7"/>
        <v>12</v>
      </c>
      <c r="H41" s="5" t="str">
        <f t="shared" si="2"/>
        <v>12-15 months</v>
      </c>
      <c r="J41" s="6">
        <v>12.0</v>
      </c>
      <c r="K41" s="5" t="str">
        <f t="shared" ref="K41:L41" si="84">E41</f>
        <v>Follows simple directions</v>
      </c>
      <c r="L41" s="5" t="str">
        <f t="shared" si="84"/>
        <v>Give clear, simple instructions, praise compliance</v>
      </c>
      <c r="M41" s="4">
        <v>11.0</v>
      </c>
    </row>
    <row r="42">
      <c r="B42" s="4" t="s">
        <v>52</v>
      </c>
      <c r="C42" s="5" t="str">
        <f t="shared" ref="C42:D42" si="85">RIGHT(B42,LEN(B42)-FIND(",",B42))</f>
        <v>"Shows preference for certain people and toys","Offer choices, respect preferences"</v>
      </c>
      <c r="D42" s="5" t="str">
        <f t="shared" si="85"/>
        <v>"Offer choices, respect preferences"</v>
      </c>
      <c r="E42" s="5" t="str">
        <f t="shared" si="5"/>
        <v>Shows preference for certain people and toys</v>
      </c>
      <c r="F42" s="5" t="str">
        <f t="shared" si="6"/>
        <v>Offer choices, respect preferences</v>
      </c>
      <c r="G42" s="5" t="str">
        <f t="shared" si="7"/>
        <v>12</v>
      </c>
      <c r="H42" s="5" t="str">
        <f t="shared" si="2"/>
        <v>12-15 months</v>
      </c>
      <c r="J42" s="6">
        <v>12.0</v>
      </c>
      <c r="K42" s="5" t="str">
        <f t="shared" ref="K42:L42" si="86">E42</f>
        <v>Shows preference for certain people and toys</v>
      </c>
      <c r="L42" s="5" t="str">
        <f t="shared" si="86"/>
        <v>Offer choices, respect preferences</v>
      </c>
      <c r="M42" s="4">
        <v>11.0</v>
      </c>
    </row>
    <row r="43">
      <c r="B43" s="4" t="s">
        <v>53</v>
      </c>
      <c r="C43" s="5" t="str">
        <f t="shared" ref="C43:D43" si="87">RIGHT(B43,LEN(B43)-FIND(",",B43))</f>
        <v>"Explores alone but with parent close by","Provide a safe environment, supervise exploration"</v>
      </c>
      <c r="D43" s="5" t="str">
        <f t="shared" si="87"/>
        <v>"Provide a safe environment, supervise exploration"</v>
      </c>
      <c r="E43" s="5" t="str">
        <f t="shared" si="5"/>
        <v>Explores alone but with parent close by</v>
      </c>
      <c r="F43" s="5" t="str">
        <f t="shared" si="6"/>
        <v>Provide a safe environment, supervise exploration</v>
      </c>
      <c r="G43" s="5" t="str">
        <f t="shared" si="7"/>
        <v>12</v>
      </c>
      <c r="H43" s="5" t="str">
        <f t="shared" si="2"/>
        <v>12-15 months</v>
      </c>
      <c r="J43" s="6">
        <v>12.0</v>
      </c>
      <c r="K43" s="5" t="str">
        <f t="shared" ref="K43:L43" si="88">E43</f>
        <v>Explores alone but with parent close by</v>
      </c>
      <c r="L43" s="5" t="str">
        <f t="shared" si="88"/>
        <v>Provide a safe environment, supervise exploration</v>
      </c>
      <c r="M43" s="4">
        <v>11.0</v>
      </c>
    </row>
    <row r="44">
      <c r="B44" s="4" t="s">
        <v>54</v>
      </c>
      <c r="C44" s="5" t="str">
        <f t="shared" ref="C44:D44" si="89">RIGHT(B44,LEN(B44)-FIND(",",B44))</f>
        <v>"Stacks two blocks","Provide stacking toys and demonstrate how to use them"</v>
      </c>
      <c r="D44" s="5" t="str">
        <f t="shared" si="89"/>
        <v>"Provide stacking toys and demonstrate how to use them"</v>
      </c>
      <c r="E44" s="5" t="str">
        <f t="shared" si="5"/>
        <v>Stacks two blocks</v>
      </c>
      <c r="F44" s="5" t="str">
        <f t="shared" si="6"/>
        <v>Provide stacking toys and demonstrate how to use them</v>
      </c>
      <c r="G44" s="5" t="str">
        <f t="shared" si="7"/>
        <v>15</v>
      </c>
      <c r="H44" s="5" t="str">
        <f t="shared" si="2"/>
        <v>15-18 months</v>
      </c>
      <c r="J44" s="6">
        <v>15.0</v>
      </c>
      <c r="K44" s="5" t="str">
        <f t="shared" ref="K44:L44" si="90">E44</f>
        <v>Stacks two blocks</v>
      </c>
      <c r="L44" s="5" t="str">
        <f t="shared" si="90"/>
        <v>Provide stacking toys and demonstrate how to use them</v>
      </c>
      <c r="M44" s="4">
        <v>13.0</v>
      </c>
    </row>
    <row r="45">
      <c r="B45" s="4" t="s">
        <v>55</v>
      </c>
      <c r="C45" s="5" t="str">
        <f t="shared" ref="C45:D45" si="91">RIGHT(B45,LEN(B45)-FIND(",",B45))</f>
        <v>"Follows simple commands","Give clear, simple instructions, praise compliance"</v>
      </c>
      <c r="D45" s="5" t="str">
        <f t="shared" si="91"/>
        <v>"Give clear, simple instructions, praise compliance"</v>
      </c>
      <c r="E45" s="5" t="str">
        <f t="shared" si="5"/>
        <v>Follows simple commands</v>
      </c>
      <c r="F45" s="5" t="str">
        <f t="shared" si="6"/>
        <v>Give clear, simple instructions, praise compliance</v>
      </c>
      <c r="G45" s="5" t="str">
        <f t="shared" si="7"/>
        <v>15</v>
      </c>
      <c r="H45" s="5" t="str">
        <f t="shared" si="2"/>
        <v>15-18 months</v>
      </c>
      <c r="J45" s="6">
        <v>15.0</v>
      </c>
      <c r="K45" s="5" t="str">
        <f t="shared" ref="K45:L45" si="92">E45</f>
        <v>Follows simple commands</v>
      </c>
      <c r="L45" s="5" t="str">
        <f t="shared" si="92"/>
        <v>Give clear, simple instructions, praise compliance</v>
      </c>
      <c r="M45" s="4">
        <v>13.0</v>
      </c>
    </row>
    <row r="46">
      <c r="B46" s="4" t="s">
        <v>56</v>
      </c>
      <c r="C46" s="5" t="str">
        <f t="shared" ref="C46:D46" si="93">RIGHT(B46,LEN(B46)-FIND(",",B46))</f>
        <v>"Imitates others","Engage in pretend play, model behaviors for imitation"</v>
      </c>
      <c r="D46" s="5" t="str">
        <f t="shared" si="93"/>
        <v>"Engage in pretend play, model behaviors for imitation"</v>
      </c>
      <c r="E46" s="5" t="str">
        <f t="shared" si="5"/>
        <v>Imitates others</v>
      </c>
      <c r="F46" s="5" t="str">
        <f t="shared" si="6"/>
        <v>Engage in pretend play, model behaviors for imitation</v>
      </c>
      <c r="G46" s="5" t="str">
        <f t="shared" si="7"/>
        <v>15</v>
      </c>
      <c r="H46" s="5" t="str">
        <f t="shared" si="2"/>
        <v>15-18 months</v>
      </c>
      <c r="J46" s="6">
        <v>15.0</v>
      </c>
      <c r="K46" s="5" t="str">
        <f t="shared" ref="K46:L46" si="94">E46</f>
        <v>Imitates others</v>
      </c>
      <c r="L46" s="5" t="str">
        <f t="shared" si="94"/>
        <v>Engage in pretend play, model behaviors for imitation</v>
      </c>
      <c r="M46" s="4">
        <v>13.0</v>
      </c>
    </row>
    <row r="47">
      <c r="B47" s="4" t="s">
        <v>57</v>
      </c>
      <c r="C47" s="5" t="str">
        <f t="shared" ref="C47:D47" si="95">RIGHT(B47,LEN(B47)-FIND(",",B47))</f>
        <v>"Walks backwards","Encourage walking games, provide open space"</v>
      </c>
      <c r="D47" s="5" t="str">
        <f t="shared" si="95"/>
        <v>"Encourage walking games, provide open space"</v>
      </c>
      <c r="E47" s="5" t="str">
        <f t="shared" si="5"/>
        <v>Walks backwards</v>
      </c>
      <c r="F47" s="5" t="str">
        <f t="shared" si="6"/>
        <v>Encourage walking games, provide open space</v>
      </c>
      <c r="G47" s="5" t="str">
        <f t="shared" si="7"/>
        <v>15</v>
      </c>
      <c r="H47" s="5" t="str">
        <f t="shared" si="2"/>
        <v>15-18 months</v>
      </c>
      <c r="J47" s="6">
        <v>15.0</v>
      </c>
      <c r="K47" s="5" t="str">
        <f t="shared" ref="K47:L47" si="96">E47</f>
        <v>Walks backwards</v>
      </c>
      <c r="L47" s="5" t="str">
        <f t="shared" si="96"/>
        <v>Encourage walking games, provide open space</v>
      </c>
      <c r="M47" s="4">
        <v>14.0</v>
      </c>
    </row>
    <row r="48">
      <c r="B48" s="4" t="s">
        <v>58</v>
      </c>
      <c r="C48" s="5" t="str">
        <f t="shared" ref="C48:D48" si="97">RIGHT(B48,LEN(B48)-FIND(",",B48))</f>
        <v>"Uses a spoon","Offer a spoon during meals, demonstrate scooping and eating"</v>
      </c>
      <c r="D48" s="5" t="str">
        <f t="shared" si="97"/>
        <v>"Offer a spoon during meals, demonstrate scooping and eating"</v>
      </c>
      <c r="E48" s="5" t="str">
        <f t="shared" si="5"/>
        <v>Uses a spoon</v>
      </c>
      <c r="F48" s="5" t="str">
        <f t="shared" si="6"/>
        <v>Offer a spoon during meals, demonstrate scooping and eating</v>
      </c>
      <c r="G48" s="5" t="str">
        <f t="shared" si="7"/>
        <v>15</v>
      </c>
      <c r="H48" s="5" t="str">
        <f t="shared" si="2"/>
        <v>15-18 months</v>
      </c>
      <c r="J48" s="6">
        <v>15.0</v>
      </c>
      <c r="K48" s="5" t="str">
        <f t="shared" ref="K48:L48" si="98">E48</f>
        <v>Uses a spoon</v>
      </c>
      <c r="L48" s="5" t="str">
        <f t="shared" si="98"/>
        <v>Offer a spoon during meals, demonstrate scooping and eating</v>
      </c>
      <c r="M48" s="4">
        <v>14.0</v>
      </c>
    </row>
    <row r="49">
      <c r="B49" s="4" t="s">
        <v>59</v>
      </c>
      <c r="C49" s="5" t="str">
        <f t="shared" ref="C49:D49" si="99">RIGHT(B49,LEN(B49)-FIND(",",B49))</f>
        <v>"Turns pages in a book","Provide sturdy board books, encourage page turning"</v>
      </c>
      <c r="D49" s="5" t="str">
        <f t="shared" si="99"/>
        <v>"Provide sturdy board books, encourage page turning"</v>
      </c>
      <c r="E49" s="5" t="str">
        <f t="shared" si="5"/>
        <v>Turns pages in a book</v>
      </c>
      <c r="F49" s="5" t="str">
        <f t="shared" si="6"/>
        <v>Provide sturdy board books, encourage page turning</v>
      </c>
      <c r="G49" s="5" t="str">
        <f t="shared" si="7"/>
        <v>15</v>
      </c>
      <c r="H49" s="5" t="str">
        <f t="shared" si="2"/>
        <v>15-18 months</v>
      </c>
      <c r="J49" s="6">
        <v>15.0</v>
      </c>
      <c r="K49" s="5" t="str">
        <f t="shared" ref="K49:L49" si="100">E49</f>
        <v>Turns pages in a book</v>
      </c>
      <c r="L49" s="5" t="str">
        <f t="shared" si="100"/>
        <v>Provide sturdy board books, encourage page turning</v>
      </c>
      <c r="M49" s="4">
        <v>14.0</v>
      </c>
    </row>
    <row r="50">
      <c r="B50" s="4" t="s">
        <v>60</v>
      </c>
      <c r="C50" s="5" t="str">
        <f t="shared" ref="C50:D50" si="101">RIGHT(B50,LEN(B50)-FIND(",",B50))</f>
        <v>"Shows affection to familiar people","Model affectionate behavior, give hugs and kisses"</v>
      </c>
      <c r="D50" s="5" t="str">
        <f t="shared" si="101"/>
        <v>"Model affectionate behavior, give hugs and kisses"</v>
      </c>
      <c r="E50" s="5" t="str">
        <f t="shared" si="5"/>
        <v>Shows affection to familiar people</v>
      </c>
      <c r="F50" s="5" t="str">
        <f t="shared" si="6"/>
        <v>Model affectionate behavior, give hugs and kisses</v>
      </c>
      <c r="G50" s="5" t="str">
        <f t="shared" si="7"/>
        <v>15</v>
      </c>
      <c r="H50" s="5" t="str">
        <f t="shared" si="2"/>
        <v>15-18 months</v>
      </c>
      <c r="J50" s="6">
        <v>15.0</v>
      </c>
      <c r="K50" s="5" t="str">
        <f t="shared" ref="K50:L50" si="102">E50</f>
        <v>Shows affection to familiar people</v>
      </c>
      <c r="L50" s="5" t="str">
        <f t="shared" si="102"/>
        <v>Model affectionate behavior, give hugs and kisses</v>
      </c>
      <c r="M50" s="4">
        <v>12.0</v>
      </c>
    </row>
    <row r="51">
      <c r="B51" s="4" t="s">
        <v>61</v>
      </c>
      <c r="C51" s="5" t="str">
        <f t="shared" ref="C51:D51" si="103">RIGHT(B51,LEN(B51)-FIND(",",B51))</f>
        <v>"Identifies one or more body parts","Play naming games, use songs about body parts"</v>
      </c>
      <c r="D51" s="5" t="str">
        <f t="shared" si="103"/>
        <v>"Play naming games, use songs about body parts"</v>
      </c>
      <c r="E51" s="5" t="str">
        <f t="shared" si="5"/>
        <v>Identifies one or more body parts</v>
      </c>
      <c r="F51" s="5" t="str">
        <f t="shared" si="6"/>
        <v>Play naming games, use songs about body parts</v>
      </c>
      <c r="G51" s="5" t="str">
        <f t="shared" si="7"/>
        <v>15</v>
      </c>
      <c r="H51" s="5" t="str">
        <f t="shared" si="2"/>
        <v>15-18 months</v>
      </c>
      <c r="J51" s="6">
        <v>15.0</v>
      </c>
      <c r="K51" s="5" t="str">
        <f t="shared" ref="K51:L51" si="104">E51</f>
        <v>Identifies one or more body parts</v>
      </c>
      <c r="L51" s="5" t="str">
        <f t="shared" si="104"/>
        <v>Play naming games, use songs about body parts</v>
      </c>
      <c r="M51" s="4">
        <v>12.0</v>
      </c>
    </row>
    <row r="52">
      <c r="B52" s="4" t="s">
        <v>62</v>
      </c>
      <c r="C52" s="5" t="str">
        <f t="shared" ref="C52:D52" si="105">RIGHT(B52,LEN(B52)-FIND(",",B52))</f>
        <v>"Pushes and pulls toys","Provide push and pull toys, demonstrate their use"</v>
      </c>
      <c r="D52" s="5" t="str">
        <f t="shared" si="105"/>
        <v>"Provide push and pull toys, demonstrate their use"</v>
      </c>
      <c r="E52" s="5" t="str">
        <f t="shared" si="5"/>
        <v>Pushes and pulls toys</v>
      </c>
      <c r="F52" s="5" t="str">
        <f t="shared" si="6"/>
        <v>Provide push and pull toys, demonstrate their use</v>
      </c>
      <c r="G52" s="5" t="str">
        <f t="shared" si="7"/>
        <v>15</v>
      </c>
      <c r="H52" s="5" t="str">
        <f t="shared" si="2"/>
        <v>15-18 months</v>
      </c>
      <c r="J52" s="6">
        <v>15.0</v>
      </c>
      <c r="K52" s="5" t="str">
        <f t="shared" ref="K52:L52" si="106">E52</f>
        <v>Pushes and pulls toys</v>
      </c>
      <c r="L52" s="5" t="str">
        <f t="shared" si="106"/>
        <v>Provide push and pull toys, demonstrate their use</v>
      </c>
      <c r="M52" s="4">
        <v>13.0</v>
      </c>
    </row>
    <row r="53">
      <c r="B53" s="4" t="s">
        <v>63</v>
      </c>
      <c r="C53" s="5" t="str">
        <f t="shared" ref="C53:D53" si="107">RIGHT(B53,LEN(B53)-FIND(",",B53))</f>
        <v>"Runs","Provide safe spaces for running, play chase games"</v>
      </c>
      <c r="D53" s="5" t="str">
        <f t="shared" si="107"/>
        <v>"Provide safe spaces for running, play chase games"</v>
      </c>
      <c r="E53" s="5" t="str">
        <f t="shared" si="5"/>
        <v>Runs</v>
      </c>
      <c r="F53" s="5" t="str">
        <f t="shared" si="6"/>
        <v>Provide safe spaces for running, play chase games</v>
      </c>
      <c r="G53" s="5" t="str">
        <f t="shared" si="7"/>
        <v>18</v>
      </c>
      <c r="H53" s="5" t="str">
        <f t="shared" si="2"/>
        <v>18-21 months</v>
      </c>
      <c r="J53" s="6">
        <v>18.0</v>
      </c>
      <c r="K53" s="5" t="str">
        <f t="shared" ref="K53:L53" si="108">E53</f>
        <v>Runs</v>
      </c>
      <c r="L53" s="5" t="str">
        <f t="shared" si="108"/>
        <v>Provide safe spaces for running, play chase games</v>
      </c>
      <c r="M53" s="4">
        <v>13.0</v>
      </c>
    </row>
    <row r="54">
      <c r="B54" s="4" t="s">
        <v>64</v>
      </c>
      <c r="C54" s="5" t="str">
        <f t="shared" ref="C54:D54" si="109">RIGHT(B54,LEN(B54)-FIND(",",B54))</f>
        <v>"Scribbles with a crayon","Offer crayons and paper, demonstrate scribbling"</v>
      </c>
      <c r="D54" s="5" t="str">
        <f t="shared" si="109"/>
        <v>"Offer crayons and paper, demonstrate scribbling"</v>
      </c>
      <c r="E54" s="5" t="str">
        <f t="shared" si="5"/>
        <v>Scribbles with a crayon</v>
      </c>
      <c r="F54" s="5" t="str">
        <f t="shared" si="6"/>
        <v>Offer crayons and paper, demonstrate scribbling</v>
      </c>
      <c r="G54" s="5" t="str">
        <f t="shared" si="7"/>
        <v>18</v>
      </c>
      <c r="H54" s="5" t="str">
        <f t="shared" si="2"/>
        <v>18-21 months</v>
      </c>
      <c r="J54" s="6">
        <v>18.0</v>
      </c>
      <c r="K54" s="5" t="str">
        <f t="shared" ref="K54:L54" si="110">E54</f>
        <v>Scribbles with a crayon</v>
      </c>
      <c r="L54" s="5" t="str">
        <f t="shared" si="110"/>
        <v>Offer crayons and paper, demonstrate scribbling</v>
      </c>
      <c r="M54" s="4">
        <v>14.0</v>
      </c>
    </row>
    <row r="55">
      <c r="B55" s="4" t="s">
        <v>65</v>
      </c>
      <c r="C55" s="5" t="str">
        <f t="shared" ref="C55:D55" si="111">RIGHT(B55,LEN(B55)-FIND(",",B55))</f>
        <v>"Uses simple phrases","Encourage use of phrases, expand on what the child says"</v>
      </c>
      <c r="D55" s="5" t="str">
        <f t="shared" si="111"/>
        <v>"Encourage use of phrases, expand on what the child says"</v>
      </c>
      <c r="E55" s="5" t="str">
        <f t="shared" si="5"/>
        <v>Uses simple phrases</v>
      </c>
      <c r="F55" s="5" t="str">
        <f t="shared" si="6"/>
        <v>Encourage use of phrases, expand on what the child says</v>
      </c>
      <c r="G55" s="5" t="str">
        <f t="shared" si="7"/>
        <v>18</v>
      </c>
      <c r="H55" s="5" t="str">
        <f t="shared" si="2"/>
        <v>18-21 months</v>
      </c>
      <c r="J55" s="6">
        <v>18.0</v>
      </c>
      <c r="K55" s="5" t="str">
        <f t="shared" ref="K55:L55" si="112">E55</f>
        <v>Uses simple phrases</v>
      </c>
      <c r="L55" s="5" t="str">
        <f t="shared" si="112"/>
        <v>Encourage use of phrases, expand on what the child says</v>
      </c>
      <c r="M55" s="4">
        <v>14.0</v>
      </c>
    </row>
    <row r="56">
      <c r="B56" s="4" t="s">
        <v>66</v>
      </c>
      <c r="C56" s="5" t="str">
        <f t="shared" ref="C56:D56" si="113">RIGHT(B56,LEN(B56)-FIND(",",B56))</f>
        <v>"Builds tower of four blocks","Provide blocks, encourage building"</v>
      </c>
      <c r="D56" s="5" t="str">
        <f t="shared" si="113"/>
        <v>"Provide blocks, encourage building"</v>
      </c>
      <c r="E56" s="5" t="str">
        <f t="shared" si="5"/>
        <v>Builds tower of four blocks</v>
      </c>
      <c r="F56" s="5" t="str">
        <f t="shared" si="6"/>
        <v>Provide blocks, encourage building</v>
      </c>
      <c r="G56" s="5" t="str">
        <f t="shared" si="7"/>
        <v>18</v>
      </c>
      <c r="H56" s="5" t="str">
        <f t="shared" si="2"/>
        <v>18-21 months</v>
      </c>
      <c r="J56" s="6">
        <v>18.0</v>
      </c>
      <c r="K56" s="5" t="str">
        <f t="shared" ref="K56:L56" si="114">E56</f>
        <v>Builds tower of four blocks</v>
      </c>
      <c r="L56" s="5" t="str">
        <f t="shared" si="114"/>
        <v>Provide blocks, encourage building</v>
      </c>
      <c r="M56" s="4">
        <v>14.0</v>
      </c>
    </row>
    <row r="57">
      <c r="B57" s="4" t="s">
        <v>67</v>
      </c>
      <c r="C57" s="5" t="str">
        <f t="shared" ref="C57:D57" si="115">RIGHT(B57,LEN(B57)-FIND(",",B57))</f>
        <v>"Kicks a ball","Play ball games, demonstrate kicking"</v>
      </c>
      <c r="D57" s="5" t="str">
        <f t="shared" si="115"/>
        <v>"Play ball games, demonstrate kicking"</v>
      </c>
      <c r="E57" s="5" t="str">
        <f t="shared" si="5"/>
        <v>Kicks a ball</v>
      </c>
      <c r="F57" s="5" t="str">
        <f t="shared" si="6"/>
        <v>Play ball games, demonstrate kicking</v>
      </c>
      <c r="G57" s="5" t="str">
        <f t="shared" si="7"/>
        <v>18</v>
      </c>
      <c r="H57" s="5" t="str">
        <f t="shared" si="2"/>
        <v>18-21 months</v>
      </c>
      <c r="J57" s="6">
        <v>18.0</v>
      </c>
      <c r="K57" s="5" t="str">
        <f t="shared" ref="K57:L57" si="116">E57</f>
        <v>Kicks a ball</v>
      </c>
      <c r="L57" s="5" t="str">
        <f t="shared" si="116"/>
        <v>Play ball games, demonstrate kicking</v>
      </c>
      <c r="M57" s="4">
        <v>14.0</v>
      </c>
    </row>
    <row r="58">
      <c r="B58" s="4" t="s">
        <v>68</v>
      </c>
      <c r="C58" s="5" t="str">
        <f t="shared" ref="C58:D58" si="117">RIGHT(B58,LEN(B58)-FIND(",",B58))</f>
        <v>"Shows defiant behavior","Set clear boundaries, offer choices to avoid power struggles"</v>
      </c>
      <c r="D58" s="5" t="str">
        <f t="shared" si="117"/>
        <v>"Set clear boundaries, offer choices to avoid power struggles"</v>
      </c>
      <c r="E58" s="5" t="str">
        <f t="shared" si="5"/>
        <v>Shows defiant behavior</v>
      </c>
      <c r="F58" s="5" t="str">
        <f t="shared" si="6"/>
        <v>Set clear boundaries, offer choices to avoid power struggles</v>
      </c>
      <c r="G58" s="5" t="str">
        <f t="shared" si="7"/>
        <v>18</v>
      </c>
      <c r="H58" s="5" t="str">
        <f t="shared" si="2"/>
        <v>18-21 months</v>
      </c>
      <c r="J58" s="6">
        <v>18.0</v>
      </c>
      <c r="K58" s="5" t="str">
        <f t="shared" ref="K58:L58" si="118">E58</f>
        <v>Shows defiant behavior</v>
      </c>
      <c r="L58" s="5" t="str">
        <f t="shared" si="118"/>
        <v>Set clear boundaries, offer choices to avoid power struggles</v>
      </c>
      <c r="M58" s="4">
        <v>15.0</v>
      </c>
    </row>
    <row r="59">
      <c r="B59" s="4" t="s">
        <v>69</v>
      </c>
      <c r="C59" s="5" t="str">
        <f t="shared" ref="C59:D59" si="119">RIGHT(B59,LEN(B59)-FIND(",",B59))</f>
        <v>"Plays alongside other children","Arrange playdates, supervise parallel play"</v>
      </c>
      <c r="D59" s="5" t="str">
        <f t="shared" si="119"/>
        <v>"Arrange playdates, supervise parallel play"</v>
      </c>
      <c r="E59" s="5" t="str">
        <f t="shared" si="5"/>
        <v>Plays alongside other children</v>
      </c>
      <c r="F59" s="5" t="str">
        <f t="shared" si="6"/>
        <v>Arrange playdates, supervise parallel play</v>
      </c>
      <c r="G59" s="5" t="str">
        <f t="shared" si="7"/>
        <v>18</v>
      </c>
      <c r="H59" s="5" t="str">
        <f t="shared" si="2"/>
        <v>18-21 months</v>
      </c>
      <c r="J59" s="6">
        <v>18.0</v>
      </c>
      <c r="K59" s="5" t="str">
        <f t="shared" ref="K59:L59" si="120">E59</f>
        <v>Plays alongside other children</v>
      </c>
      <c r="L59" s="5" t="str">
        <f t="shared" si="120"/>
        <v>Arrange playdates, supervise parallel play</v>
      </c>
      <c r="M59" s="4">
        <v>15.0</v>
      </c>
    </row>
    <row r="60">
      <c r="B60" s="4" t="s">
        <v>70</v>
      </c>
      <c r="C60" s="5" t="str">
        <f t="shared" ref="C60:D60" si="121">RIGHT(B60,LEN(B60)-FIND(",",B60))</f>
        <v>"Uses a toothbrush with help","Demonstrate brushing, assist with brushing teeth"</v>
      </c>
      <c r="D60" s="5" t="str">
        <f t="shared" si="121"/>
        <v>"Demonstrate brushing, assist with brushing teeth"</v>
      </c>
      <c r="E60" s="5" t="str">
        <f t="shared" si="5"/>
        <v>Uses a toothbrush with help</v>
      </c>
      <c r="F60" s="5" t="str">
        <f t="shared" si="6"/>
        <v>Demonstrate brushing, assist with brushing teeth</v>
      </c>
      <c r="G60" s="5" t="str">
        <f t="shared" si="7"/>
        <v>18</v>
      </c>
      <c r="H60" s="5" t="str">
        <f t="shared" si="2"/>
        <v>18-21 months</v>
      </c>
      <c r="J60" s="6">
        <v>18.0</v>
      </c>
      <c r="K60" s="5" t="str">
        <f t="shared" ref="K60:L60" si="122">E60</f>
        <v>Uses a toothbrush with help</v>
      </c>
      <c r="L60" s="5" t="str">
        <f t="shared" si="122"/>
        <v>Demonstrate brushing, assist with brushing teeth</v>
      </c>
      <c r="M60" s="4">
        <v>15.0</v>
      </c>
    </row>
    <row r="61">
      <c r="B61" s="4" t="s">
        <v>71</v>
      </c>
      <c r="C61" s="5" t="str">
        <f t="shared" ref="C61:D61" si="123">RIGHT(B61,LEN(B61)-FIND(",",B61))</f>
        <v>"Understands and responds to 'yes' and 'no'","Use clear language, be consistent with yes/no responses"</v>
      </c>
      <c r="D61" s="5" t="str">
        <f t="shared" si="123"/>
        <v>"Use clear language, be consistent with yes/no responses"</v>
      </c>
      <c r="E61" s="5" t="str">
        <f t="shared" si="5"/>
        <v>Understands and responds to 'yes' and 'no'</v>
      </c>
      <c r="F61" s="5" t="str">
        <f t="shared" si="6"/>
        <v>Use clear language, be consistent with yes/no responses</v>
      </c>
      <c r="G61" s="5" t="str">
        <f t="shared" si="7"/>
        <v>18</v>
      </c>
      <c r="H61" s="5" t="str">
        <f t="shared" si="2"/>
        <v>18-21 months</v>
      </c>
      <c r="J61" s="6">
        <v>18.0</v>
      </c>
      <c r="K61" s="5" t="str">
        <f t="shared" ref="K61:L61" si="124">E61</f>
        <v>Understands and responds to 'yes' and 'no'</v>
      </c>
      <c r="L61" s="5" t="str">
        <f t="shared" si="124"/>
        <v>Use clear language, be consistent with yes/no responses</v>
      </c>
      <c r="M61" s="4">
        <v>15.0</v>
      </c>
    </row>
    <row r="62">
      <c r="B62" s="4" t="s">
        <v>72</v>
      </c>
      <c r="C62" s="5" t="str">
        <f t="shared" ref="C62:D62" si="125">RIGHT(B62,LEN(B62)-FIND(",",B62))</f>
        <v>"Shows more independence","Encourage self-help skills, provide opportunities for choice"</v>
      </c>
      <c r="D62" s="5" t="str">
        <f t="shared" si="125"/>
        <v>"Encourage self-help skills, provide opportunities for choice"</v>
      </c>
      <c r="E62" s="5" t="str">
        <f t="shared" si="5"/>
        <v>Shows more independence</v>
      </c>
      <c r="F62" s="5" t="str">
        <f t="shared" si="6"/>
        <v>Encourage self-help skills, provide opportunities for choice</v>
      </c>
      <c r="G62" s="5" t="str">
        <f t="shared" si="7"/>
        <v>21</v>
      </c>
      <c r="H62" s="5" t="str">
        <f t="shared" si="2"/>
        <v>21-24 months</v>
      </c>
      <c r="J62" s="6">
        <v>21.0</v>
      </c>
      <c r="K62" s="5" t="str">
        <f t="shared" ref="K62:L62" si="126">E62</f>
        <v>Shows more independence</v>
      </c>
      <c r="L62" s="5" t="str">
        <f t="shared" si="126"/>
        <v>Encourage self-help skills, provide opportunities for choice</v>
      </c>
      <c r="M62" s="4">
        <v>17.0</v>
      </c>
    </row>
    <row r="63">
      <c r="B63" s="4" t="s">
        <v>73</v>
      </c>
      <c r="C63" s="5" t="str">
        <f t="shared" ref="C63:D63" si="127">RIGHT(B63,LEN(B63)-FIND(",",B63))</f>
        <v>"Names familiar objects","Name objects frequently, encourage naming during play"</v>
      </c>
      <c r="D63" s="5" t="str">
        <f t="shared" si="127"/>
        <v>"Name objects frequently, encourage naming during play"</v>
      </c>
      <c r="E63" s="5" t="str">
        <f t="shared" si="5"/>
        <v>Names familiar objects</v>
      </c>
      <c r="F63" s="5" t="str">
        <f t="shared" si="6"/>
        <v>Name objects frequently, encourage naming during play</v>
      </c>
      <c r="G63" s="5" t="str">
        <f t="shared" si="7"/>
        <v>21</v>
      </c>
      <c r="H63" s="5" t="str">
        <f t="shared" si="2"/>
        <v>21-24 months</v>
      </c>
      <c r="J63" s="6">
        <v>21.0</v>
      </c>
      <c r="K63" s="5" t="str">
        <f t="shared" ref="K63:L63" si="128">E63</f>
        <v>Names familiar objects</v>
      </c>
      <c r="L63" s="5" t="str">
        <f t="shared" si="128"/>
        <v>Name objects frequently, encourage naming during play</v>
      </c>
      <c r="M63" s="4">
        <v>17.0</v>
      </c>
    </row>
    <row r="64">
      <c r="B64" s="4" t="s">
        <v>74</v>
      </c>
      <c r="C64" s="5" t="str">
        <f t="shared" ref="C64:D64" si="129">RIGHT(B64,LEN(B64)-FIND(",",B64))</f>
        <v>"Begins to sort shapes and colors","Provide sorting toys, encourage categorization"</v>
      </c>
      <c r="D64" s="5" t="str">
        <f t="shared" si="129"/>
        <v>"Provide sorting toys, encourage categorization"</v>
      </c>
      <c r="E64" s="5" t="str">
        <f t="shared" si="5"/>
        <v>Begins to sort shapes and colors</v>
      </c>
      <c r="F64" s="5" t="str">
        <f t="shared" si="6"/>
        <v>Provide sorting toys, encourage categorization</v>
      </c>
      <c r="G64" s="5" t="str">
        <f t="shared" si="7"/>
        <v>21</v>
      </c>
      <c r="H64" s="5" t="str">
        <f t="shared" si="2"/>
        <v>21-24 months</v>
      </c>
      <c r="J64" s="6">
        <v>21.0</v>
      </c>
      <c r="K64" s="5" t="str">
        <f t="shared" ref="K64:L64" si="130">E64</f>
        <v>Begins to sort shapes and colors</v>
      </c>
      <c r="L64" s="5" t="str">
        <f t="shared" si="130"/>
        <v>Provide sorting toys, encourage categorization</v>
      </c>
      <c r="M64" s="4">
        <v>17.0</v>
      </c>
    </row>
    <row r="65">
      <c r="B65" s="4" t="s">
        <v>75</v>
      </c>
      <c r="C65" s="5" t="str">
        <f t="shared" ref="C65:D65" si="131">RIGHT(B65,LEN(B65)-FIND(",",B65))</f>
        <v>"Engages in pretend play","Provide dress-up clothes and props, join in pretend play"</v>
      </c>
      <c r="D65" s="5" t="str">
        <f t="shared" si="131"/>
        <v>"Provide dress-up clothes and props, join in pretend play"</v>
      </c>
      <c r="E65" s="5" t="str">
        <f t="shared" si="5"/>
        <v>Engages in pretend play</v>
      </c>
      <c r="F65" s="5" t="str">
        <f t="shared" si="6"/>
        <v>Provide dress-up clothes and props, join in pretend play</v>
      </c>
      <c r="G65" s="5" t="str">
        <f t="shared" si="7"/>
        <v>21</v>
      </c>
      <c r="H65" s="5" t="str">
        <f t="shared" si="2"/>
        <v>21-24 months</v>
      </c>
      <c r="J65" s="6">
        <v>21.0</v>
      </c>
      <c r="K65" s="5" t="str">
        <f t="shared" ref="K65:L65" si="132">E65</f>
        <v>Engages in pretend play</v>
      </c>
      <c r="L65" s="5" t="str">
        <f t="shared" si="132"/>
        <v>Provide dress-up clothes and props, join in pretend play</v>
      </c>
      <c r="M65" s="4">
        <v>19.0</v>
      </c>
    </row>
    <row r="66">
      <c r="B66" s="4" t="s">
        <v>76</v>
      </c>
      <c r="C66" s="5" t="str">
        <f t="shared" ref="C66:D66" si="133">RIGHT(B66,LEN(B66)-FIND(",",B66))</f>
        <v>"Follows two-step instructions","Give multi-step directions, praise following"</v>
      </c>
      <c r="D66" s="5" t="str">
        <f t="shared" si="133"/>
        <v>"Give multi-step directions, praise following"</v>
      </c>
      <c r="E66" s="5" t="str">
        <f t="shared" si="5"/>
        <v>Follows two-step instructions</v>
      </c>
      <c r="F66" s="5" t="str">
        <f t="shared" si="6"/>
        <v>Give multi-step directions, praise following</v>
      </c>
      <c r="G66" s="5" t="str">
        <f t="shared" si="7"/>
        <v>21</v>
      </c>
      <c r="H66" s="5" t="str">
        <f t="shared" si="2"/>
        <v>21-24 months</v>
      </c>
      <c r="J66" s="6">
        <v>21.0</v>
      </c>
      <c r="K66" s="5" t="str">
        <f t="shared" ref="K66:L66" si="134">E66</f>
        <v>Follows two-step instructions</v>
      </c>
      <c r="L66" s="5" t="str">
        <f t="shared" si="134"/>
        <v>Give multi-step directions, praise following</v>
      </c>
      <c r="M66" s="4">
        <v>19.0</v>
      </c>
    </row>
    <row r="67">
      <c r="B67" s="4" t="s">
        <v>77</v>
      </c>
      <c r="C67" s="5" t="str">
        <f t="shared" ref="C67:D67" si="135">RIGHT(B67,LEN(B67)-FIND(",",B67))</f>
        <v>"Uses pronouns (I, me, you)","Model correct pronoun usage, engage in conversations"</v>
      </c>
      <c r="D67" s="5" t="str">
        <f t="shared" si="135"/>
        <v> me, you)","Model correct pronoun usage, engage in conversations"</v>
      </c>
      <c r="E67" s="5" t="str">
        <f t="shared" si="5"/>
        <v>Uses pronouns (</v>
      </c>
      <c r="F67" s="5" t="str">
        <f t="shared" si="6"/>
        <v>me, you)","Model correct pronoun usage, engage in conversations</v>
      </c>
      <c r="G67" s="5" t="str">
        <f t="shared" si="7"/>
        <v>21</v>
      </c>
      <c r="H67" s="5" t="str">
        <f t="shared" si="2"/>
        <v>21-24 months</v>
      </c>
      <c r="J67" s="6">
        <v>21.0</v>
      </c>
      <c r="K67" s="5" t="str">
        <f t="shared" ref="K67:L67" si="136">E67</f>
        <v>Uses pronouns (</v>
      </c>
      <c r="L67" s="5" t="str">
        <f t="shared" si="136"/>
        <v>me, you)","Model correct pronoun usage, engage in conversations</v>
      </c>
      <c r="M67" s="4">
        <v>19.0</v>
      </c>
    </row>
    <row r="68">
      <c r="B68" s="4" t="s">
        <v>78</v>
      </c>
      <c r="C68" s="5" t="str">
        <f t="shared" ref="C68:D68" si="137">RIGHT(B68,LEN(B68)-FIND(",",B68))</f>
        <v>"Shows interest in toilet training","Introduce potty, read books about toilet training"</v>
      </c>
      <c r="D68" s="5" t="str">
        <f t="shared" si="137"/>
        <v>"Introduce potty, read books about toilet training"</v>
      </c>
      <c r="E68" s="5" t="str">
        <f t="shared" si="5"/>
        <v>Shows interest in toilet training</v>
      </c>
      <c r="F68" s="5" t="str">
        <f t="shared" si="6"/>
        <v>Introduce potty, read books about toilet training</v>
      </c>
      <c r="G68" s="5" t="str">
        <f t="shared" si="7"/>
        <v>21</v>
      </c>
      <c r="H68" s="5" t="str">
        <f t="shared" si="2"/>
        <v>21-24 months</v>
      </c>
      <c r="J68" s="6">
        <v>21.0</v>
      </c>
      <c r="K68" s="5" t="str">
        <f t="shared" ref="K68:L68" si="138">E68</f>
        <v>Shows interest in toilet training</v>
      </c>
      <c r="L68" s="5" t="str">
        <f t="shared" si="138"/>
        <v>Introduce potty, read books about toilet training</v>
      </c>
      <c r="M68" s="4">
        <v>19.0</v>
      </c>
    </row>
    <row r="69">
      <c r="B69" s="4" t="s">
        <v>79</v>
      </c>
      <c r="C69" s="5" t="str">
        <f t="shared" ref="C69:D69" si="139">RIGHT(B69,LEN(B69)-FIND(",",B69))</f>
        <v>"Plays simple make-believe games","Encourage imagination, join in pretend play"</v>
      </c>
      <c r="D69" s="5" t="str">
        <f t="shared" si="139"/>
        <v>"Encourage imagination, join in pretend play"</v>
      </c>
      <c r="E69" s="5" t="str">
        <f t="shared" si="5"/>
        <v>Plays simple make-believe games</v>
      </c>
      <c r="F69" s="5" t="str">
        <f t="shared" si="6"/>
        <v>Encourage imagination, join in pretend play</v>
      </c>
      <c r="G69" s="5" t="str">
        <f t="shared" si="7"/>
        <v>21</v>
      </c>
      <c r="H69" s="5" t="str">
        <f t="shared" si="2"/>
        <v>21-24 months</v>
      </c>
      <c r="J69" s="6">
        <v>21.0</v>
      </c>
      <c r="K69" s="5" t="str">
        <f t="shared" ref="K69:L69" si="140">E69</f>
        <v>Plays simple make-believe games</v>
      </c>
      <c r="L69" s="5" t="str">
        <f t="shared" si="140"/>
        <v>Encourage imagination, join in pretend play</v>
      </c>
      <c r="M69" s="4">
        <v>19.0</v>
      </c>
    </row>
    <row r="70">
      <c r="B70" s="4" t="s">
        <v>80</v>
      </c>
      <c r="C70" s="5" t="str">
        <f t="shared" ref="C70:D70" si="141">RIGHT(B70,LEN(B70)-FIND(",",B70))</f>
        <v>"Builds higher towers","Provide more blocks, encourage taller structures"</v>
      </c>
      <c r="D70" s="5" t="str">
        <f t="shared" si="141"/>
        <v>"Provide more blocks, encourage taller structures"</v>
      </c>
      <c r="E70" s="5" t="str">
        <f t="shared" si="5"/>
        <v>Builds higher towers</v>
      </c>
      <c r="F70" s="5" t="str">
        <f t="shared" si="6"/>
        <v>Provide more blocks, encourage taller structures</v>
      </c>
      <c r="G70" s="5" t="str">
        <f t="shared" si="7"/>
        <v>21</v>
      </c>
      <c r="H70" s="5" t="str">
        <f t="shared" si="2"/>
        <v>21-24 months</v>
      </c>
      <c r="J70" s="6">
        <v>21.0</v>
      </c>
      <c r="K70" s="5" t="str">
        <f t="shared" ref="K70:L70" si="142">E70</f>
        <v>Builds higher towers</v>
      </c>
      <c r="L70" s="5" t="str">
        <f t="shared" si="142"/>
        <v>Provide more blocks, encourage taller structures</v>
      </c>
      <c r="M70" s="4">
        <v>20.0</v>
      </c>
    </row>
    <row r="71">
      <c r="B71" s="4" t="s">
        <v>81</v>
      </c>
      <c r="C71" s="5" t="str">
        <f t="shared" ref="C71:D71" si="143">RIGHT(B71,LEN(B71)-FIND(",",B71))</f>
        <v>"Draws simple shapes","Provide drawing materials, demonstrate simple shapes"</v>
      </c>
      <c r="D71" s="5" t="str">
        <f t="shared" si="143"/>
        <v>"Provide drawing materials, demonstrate simple shapes"</v>
      </c>
      <c r="E71" s="5" t="str">
        <f t="shared" si="5"/>
        <v>Draws simple shapes</v>
      </c>
      <c r="F71" s="5" t="str">
        <f t="shared" si="6"/>
        <v>Provide drawing materials, demonstrate simple shapes</v>
      </c>
      <c r="G71" s="5" t="str">
        <f t="shared" si="7"/>
        <v>21</v>
      </c>
      <c r="H71" s="5" t="str">
        <f t="shared" si="2"/>
        <v>21-24 months</v>
      </c>
      <c r="J71" s="6">
        <v>21.0</v>
      </c>
      <c r="K71" s="5" t="str">
        <f t="shared" ref="K71:L71" si="144">E71</f>
        <v>Draws simple shapes</v>
      </c>
      <c r="L71" s="5" t="str">
        <f t="shared" si="144"/>
        <v>Provide drawing materials, demonstrate simple shapes</v>
      </c>
      <c r="M71" s="4">
        <v>20.0</v>
      </c>
    </row>
    <row r="72">
      <c r="B72" s="4" t="s">
        <v>82</v>
      </c>
      <c r="C72" s="5" t="str">
        <f t="shared" ref="C72:D72" si="145">RIGHT(B72,LEN(B72)-FIND(",",B72))</f>
        <v>"Jumps with both feet","Create opportunities for jumping, use low obstacles"</v>
      </c>
      <c r="D72" s="5" t="str">
        <f t="shared" si="145"/>
        <v>"Create opportunities for jumping, use low obstacles"</v>
      </c>
      <c r="E72" s="5" t="str">
        <f t="shared" si="5"/>
        <v>Jumps with both feet</v>
      </c>
      <c r="F72" s="5" t="str">
        <f t="shared" si="6"/>
        <v>Create opportunities for jumping, use low obstacles</v>
      </c>
      <c r="G72" s="5" t="str">
        <f t="shared" si="7"/>
        <v>24</v>
      </c>
      <c r="H72" s="5" t="str">
        <f t="shared" si="2"/>
        <v>24-27 months</v>
      </c>
      <c r="J72" s="6">
        <v>24.0</v>
      </c>
      <c r="K72" s="5" t="str">
        <f t="shared" ref="K72:L72" si="146">E72</f>
        <v>Jumps with both feet</v>
      </c>
      <c r="L72" s="5" t="str">
        <f t="shared" si="146"/>
        <v>Create opportunities for jumping, use low obstacles</v>
      </c>
      <c r="M72" s="4">
        <v>21.0</v>
      </c>
    </row>
    <row r="73">
      <c r="B73" s="4"/>
      <c r="J73" s="6">
        <v>24.0</v>
      </c>
      <c r="K73" s="4" t="s">
        <v>83</v>
      </c>
      <c r="L73" s="4" t="s">
        <v>84</v>
      </c>
      <c r="M73" s="4">
        <v>21.0</v>
      </c>
    </row>
    <row r="74">
      <c r="B74" s="4" t="s">
        <v>85</v>
      </c>
      <c r="C74" s="5" t="str">
        <f t="shared" ref="C74:D74" si="147">RIGHT(B74,LEN(B74)-FIND(",",B74))</f>
        <v>"Says name, age, and gender","Practice introducing themselves, use name games"</v>
      </c>
      <c r="D74" s="5" t="str">
        <f t="shared" si="147"/>
        <v> age, and gender","Practice introducing themselves, use name games"</v>
      </c>
      <c r="E74" s="5" t="str">
        <f t="shared" ref="E74:E138" si="150">RIGHT(LEFT(C74,FIND(",",C74)-2),LEN(LEFT(C74,FIND(",",C74)-2))-1)</f>
        <v>Says nam</v>
      </c>
      <c r="F74" s="5" t="str">
        <f t="shared" ref="F74:F138" si="151">RIGHT(LEFT(D74,LEN(D74)-1),LEN(D74)-2)</f>
        <v>age, and gender","Practice introducing themselves, use name games</v>
      </c>
      <c r="G74" s="5" t="str">
        <f t="shared" ref="G74:G118" si="152">LEFT(H74,FIND("-",H74)-1)</f>
        <v>24</v>
      </c>
      <c r="H74" s="5" t="str">
        <f t="shared" ref="H74:H138" si="153">RIGHT(LEFT(B74,FIND(",",B74)-2),LEN(LEFT(B74,FIND(",",B74)-2))-1)</f>
        <v>24-27 months</v>
      </c>
      <c r="J74" s="6">
        <v>24.0</v>
      </c>
      <c r="K74" s="5" t="str">
        <f t="shared" ref="K74:L74" si="148">E74</f>
        <v>Says nam</v>
      </c>
      <c r="L74" s="5" t="str">
        <f t="shared" si="148"/>
        <v>age, and gender","Practice introducing themselves, use name games</v>
      </c>
      <c r="M74" s="4">
        <v>21.0</v>
      </c>
    </row>
    <row r="75">
      <c r="B75" s="4" t="s">
        <v>86</v>
      </c>
      <c r="C75" s="5" t="str">
        <f t="shared" ref="C75:D75" si="149">RIGHT(B75,LEN(B75)-FIND(",",B75))</f>
        <v>"Shows empathy to others","Model empathetic behavior, discuss emotions"</v>
      </c>
      <c r="D75" s="5" t="str">
        <f t="shared" si="149"/>
        <v>"Model empathetic behavior, discuss emotions"</v>
      </c>
      <c r="E75" s="5" t="str">
        <f t="shared" si="150"/>
        <v>Shows empathy to others</v>
      </c>
      <c r="F75" s="5" t="str">
        <f t="shared" si="151"/>
        <v>Model empathetic behavior, discuss emotions</v>
      </c>
      <c r="G75" s="5" t="str">
        <f t="shared" si="152"/>
        <v>24</v>
      </c>
      <c r="H75" s="5" t="str">
        <f t="shared" si="153"/>
        <v>24-27 months</v>
      </c>
      <c r="J75" s="6">
        <v>24.0</v>
      </c>
      <c r="K75" s="5" t="str">
        <f t="shared" ref="K75:L75" si="154">E75</f>
        <v>Shows empathy to others</v>
      </c>
      <c r="L75" s="5" t="str">
        <f t="shared" si="154"/>
        <v>Model empathetic behavior, discuss emotions</v>
      </c>
      <c r="M75" s="4">
        <v>21.0</v>
      </c>
    </row>
    <row r="76">
      <c r="B76" s="4" t="s">
        <v>87</v>
      </c>
      <c r="C76" s="5" t="str">
        <f t="shared" ref="C76:D76" si="155">RIGHT(B76,LEN(B76)-FIND(",",B76))</f>
        <v>"Begins to understand time (today, tomorrow)","Use time-related language, discuss daily routines"</v>
      </c>
      <c r="D76" s="5" t="str">
        <f t="shared" si="155"/>
        <v> tomorrow)","Use time-related language, discuss daily routines"</v>
      </c>
      <c r="E76" s="5" t="str">
        <f t="shared" si="150"/>
        <v>Begins to understand time (toda</v>
      </c>
      <c r="F76" s="5" t="str">
        <f t="shared" si="151"/>
        <v>tomorrow)","Use time-related language, discuss daily routines</v>
      </c>
      <c r="G76" s="5" t="str">
        <f t="shared" si="152"/>
        <v>24</v>
      </c>
      <c r="H76" s="5" t="str">
        <f t="shared" si="153"/>
        <v>24-27 months</v>
      </c>
      <c r="J76" s="6">
        <v>24.0</v>
      </c>
      <c r="K76" s="5" t="str">
        <f t="shared" ref="K76:L76" si="156">E76</f>
        <v>Begins to understand time (toda</v>
      </c>
      <c r="L76" s="5" t="str">
        <f t="shared" si="156"/>
        <v>tomorrow)","Use time-related language, discuss daily routines</v>
      </c>
      <c r="M76" s="4">
        <v>21.0</v>
      </c>
    </row>
    <row r="77">
      <c r="B77" s="4" t="s">
        <v>88</v>
      </c>
      <c r="C77" s="5" t="str">
        <f t="shared" ref="C77:D77" si="157">RIGHT(B77,LEN(B77)-FIND(",",B77))</f>
        <v>"Shows curiosity about the world","Answer questions, provide new experiences"</v>
      </c>
      <c r="D77" s="5" t="str">
        <f t="shared" si="157"/>
        <v>"Answer questions, provide new experiences"</v>
      </c>
      <c r="E77" s="5" t="str">
        <f t="shared" si="150"/>
        <v>Shows curiosity about the world</v>
      </c>
      <c r="F77" s="5" t="str">
        <f t="shared" si="151"/>
        <v>Answer questions, provide new experiences</v>
      </c>
      <c r="G77" s="5" t="str">
        <f t="shared" si="152"/>
        <v>24</v>
      </c>
      <c r="H77" s="5" t="str">
        <f t="shared" si="153"/>
        <v>24-27 months</v>
      </c>
      <c r="J77" s="6">
        <v>24.0</v>
      </c>
      <c r="K77" s="5" t="str">
        <f t="shared" ref="K77:L77" si="158">E77</f>
        <v>Shows curiosity about the world</v>
      </c>
      <c r="L77" s="5" t="str">
        <f t="shared" si="158"/>
        <v>Answer questions, provide new experiences</v>
      </c>
      <c r="M77" s="4">
        <v>21.0</v>
      </c>
    </row>
    <row r="78">
      <c r="B78" s="4" t="s">
        <v>89</v>
      </c>
      <c r="C78" s="5" t="str">
        <f t="shared" ref="C78:D78" si="159">RIGHT(B78,LEN(B78)-FIND(",",B78))</f>
        <v>"Completes simple puzzles","Provide age-appropriate puzzles, offer guidance"</v>
      </c>
      <c r="D78" s="5" t="str">
        <f t="shared" si="159"/>
        <v>"Provide age-appropriate puzzles, offer guidance"</v>
      </c>
      <c r="E78" s="5" t="str">
        <f t="shared" si="150"/>
        <v>Completes simple puzzles</v>
      </c>
      <c r="F78" s="5" t="str">
        <f t="shared" si="151"/>
        <v>Provide age-appropriate puzzles, offer guidance</v>
      </c>
      <c r="G78" s="5" t="str">
        <f t="shared" si="152"/>
        <v>24</v>
      </c>
      <c r="H78" s="5" t="str">
        <f t="shared" si="153"/>
        <v>24-27 months</v>
      </c>
      <c r="J78" s="6">
        <v>24.0</v>
      </c>
      <c r="K78" s="5" t="str">
        <f t="shared" ref="K78:L78" si="160">E78</f>
        <v>Completes simple puzzles</v>
      </c>
      <c r="L78" s="5" t="str">
        <f t="shared" si="160"/>
        <v>Provide age-appropriate puzzles, offer guidance</v>
      </c>
      <c r="M78" s="4">
        <v>21.0</v>
      </c>
    </row>
    <row r="79">
      <c r="B79" s="4" t="s">
        <v>90</v>
      </c>
      <c r="C79" s="5" t="str">
        <f t="shared" ref="C79:D79" si="161">RIGHT(B79,LEN(B79)-FIND(",",B79))</f>
        <v>"Dresses and undresses with help","Encourage dressing skills, provide easy-to-manage clothes"</v>
      </c>
      <c r="D79" s="5" t="str">
        <f t="shared" si="161"/>
        <v>"Encourage dressing skills, provide easy-to-manage clothes"</v>
      </c>
      <c r="E79" s="5" t="str">
        <f t="shared" si="150"/>
        <v>Dresses and undresses with help</v>
      </c>
      <c r="F79" s="5" t="str">
        <f t="shared" si="151"/>
        <v>Encourage dressing skills, provide easy-to-manage clothes</v>
      </c>
      <c r="G79" s="5" t="str">
        <f t="shared" si="152"/>
        <v>24</v>
      </c>
      <c r="H79" s="5" t="str">
        <f t="shared" si="153"/>
        <v>24-27 months</v>
      </c>
      <c r="J79" s="6">
        <v>24.0</v>
      </c>
      <c r="K79" s="5" t="str">
        <f t="shared" ref="K79:L79" si="162">E79</f>
        <v>Dresses and undresses with help</v>
      </c>
      <c r="L79" s="5" t="str">
        <f t="shared" si="162"/>
        <v>Encourage dressing skills, provide easy-to-manage clothes</v>
      </c>
      <c r="M79" s="4">
        <v>21.0</v>
      </c>
    </row>
    <row r="80">
      <c r="B80" s="4" t="s">
        <v>91</v>
      </c>
      <c r="C80" s="5" t="str">
        <f t="shared" ref="C80:D80" si="163">RIGHT(B80,LEN(B80)-FIND(",",B80))</f>
        <v>"Uses plurals and simple sentences","Model correct grammar, engage in conversations"</v>
      </c>
      <c r="D80" s="5" t="str">
        <f t="shared" si="163"/>
        <v>"Model correct grammar, engage in conversations"</v>
      </c>
      <c r="E80" s="5" t="str">
        <f t="shared" si="150"/>
        <v>Uses plurals and simple sentences</v>
      </c>
      <c r="F80" s="5" t="str">
        <f t="shared" si="151"/>
        <v>Model correct grammar, engage in conversations</v>
      </c>
      <c r="G80" s="5" t="str">
        <f t="shared" si="152"/>
        <v>24</v>
      </c>
      <c r="H80" s="5" t="str">
        <f t="shared" si="153"/>
        <v>24-27 months</v>
      </c>
      <c r="J80" s="6">
        <v>24.0</v>
      </c>
      <c r="K80" s="5" t="str">
        <f t="shared" ref="K80:L80" si="164">E80</f>
        <v>Uses plurals and simple sentences</v>
      </c>
      <c r="L80" s="5" t="str">
        <f t="shared" si="164"/>
        <v>Model correct grammar, engage in conversations</v>
      </c>
      <c r="M80" s="4">
        <v>21.0</v>
      </c>
    </row>
    <row r="81">
      <c r="B81" s="4" t="s">
        <v>92</v>
      </c>
      <c r="C81" s="5" t="str">
        <f t="shared" ref="C81:D81" si="165">RIGHT(B81,LEN(B81)-FIND(",",B81))</f>
        <v>"Knows some colors and shapes","Play color and shape games, use descriptive language"</v>
      </c>
      <c r="D81" s="5" t="str">
        <f t="shared" si="165"/>
        <v>"Play color and shape games, use descriptive language"</v>
      </c>
      <c r="E81" s="5" t="str">
        <f t="shared" si="150"/>
        <v>Knows some colors and shapes</v>
      </c>
      <c r="F81" s="5" t="str">
        <f t="shared" si="151"/>
        <v>Play color and shape games, use descriptive language</v>
      </c>
      <c r="G81" s="5" t="str">
        <f t="shared" si="152"/>
        <v>24</v>
      </c>
      <c r="H81" s="5" t="str">
        <f t="shared" si="153"/>
        <v>24-27 months</v>
      </c>
      <c r="J81" s="6">
        <v>24.0</v>
      </c>
      <c r="K81" s="5" t="str">
        <f t="shared" ref="K81:L81" si="166">E81</f>
        <v>Knows some colors and shapes</v>
      </c>
      <c r="L81" s="5" t="str">
        <f t="shared" si="166"/>
        <v>Play color and shape games, use descriptive language</v>
      </c>
      <c r="M81" s="4">
        <v>21.0</v>
      </c>
    </row>
    <row r="82">
      <c r="B82" s="4" t="s">
        <v>93</v>
      </c>
      <c r="C82" s="5" t="str">
        <f t="shared" ref="C82:D82" si="167">RIGHT(B82,LEN(B82)-FIND(",",B82))</f>
        <v>"Begins to play cooperatively","Facilitate group activities, teach sharing and turn-taking"</v>
      </c>
      <c r="D82" s="5" t="str">
        <f t="shared" si="167"/>
        <v>"Facilitate group activities, teach sharing and turn-taking"</v>
      </c>
      <c r="E82" s="5" t="str">
        <f t="shared" si="150"/>
        <v>Begins to play cooperatively</v>
      </c>
      <c r="F82" s="5" t="str">
        <f t="shared" si="151"/>
        <v>Facilitate group activities, teach sharing and turn-taking</v>
      </c>
      <c r="G82" s="5" t="str">
        <f t="shared" si="152"/>
        <v>24</v>
      </c>
      <c r="H82" s="5" t="str">
        <f t="shared" si="153"/>
        <v>24-27 months</v>
      </c>
      <c r="J82" s="6">
        <v>24.0</v>
      </c>
      <c r="K82" s="5" t="str">
        <f t="shared" ref="K82:L82" si="168">E82</f>
        <v>Begins to play cooperatively</v>
      </c>
      <c r="L82" s="5" t="str">
        <f t="shared" si="168"/>
        <v>Facilitate group activities, teach sharing and turn-taking</v>
      </c>
      <c r="M82" s="4">
        <v>21.0</v>
      </c>
    </row>
    <row r="83">
      <c r="B83" s="4" t="s">
        <v>94</v>
      </c>
      <c r="C83" s="5" t="str">
        <f t="shared" ref="C83:D83" si="169">RIGHT(B83,LEN(B83)-FIND(",",B83))</f>
        <v>"Draws straight lines","Provide drawing materials, demonstrate drawing lines"</v>
      </c>
      <c r="D83" s="5" t="str">
        <f t="shared" si="169"/>
        <v>"Provide drawing materials, demonstrate drawing lines"</v>
      </c>
      <c r="E83" s="5" t="str">
        <f t="shared" si="150"/>
        <v>Draws straight lines</v>
      </c>
      <c r="F83" s="5" t="str">
        <f t="shared" si="151"/>
        <v>Provide drawing materials, demonstrate drawing lines</v>
      </c>
      <c r="G83" s="5" t="str">
        <f t="shared" si="152"/>
        <v>27</v>
      </c>
      <c r="H83" s="5" t="str">
        <f t="shared" si="153"/>
        <v>27-30 months</v>
      </c>
      <c r="J83" s="6">
        <v>27.0</v>
      </c>
      <c r="K83" s="5" t="str">
        <f t="shared" ref="K83:L83" si="170">E83</f>
        <v>Draws straight lines</v>
      </c>
      <c r="L83" s="5" t="str">
        <f t="shared" si="170"/>
        <v>Provide drawing materials, demonstrate drawing lines</v>
      </c>
      <c r="M83" s="4">
        <v>22.0</v>
      </c>
    </row>
    <row r="84">
      <c r="B84" s="4" t="s">
        <v>95</v>
      </c>
      <c r="C84" s="5" t="str">
        <f t="shared" ref="C84:D84" si="171">RIGHT(B84,LEN(B84)-FIND(",",B84))</f>
        <v>"Throws ball overhand","Play catch games, demonstrate throwing techniques"</v>
      </c>
      <c r="D84" s="5" t="str">
        <f t="shared" si="171"/>
        <v>"Play catch games, demonstrate throwing techniques"</v>
      </c>
      <c r="E84" s="5" t="str">
        <f t="shared" si="150"/>
        <v>Throws ball overhand</v>
      </c>
      <c r="F84" s="5" t="str">
        <f t="shared" si="151"/>
        <v>Play catch games, demonstrate throwing techniques</v>
      </c>
      <c r="G84" s="5" t="str">
        <f t="shared" si="152"/>
        <v>27</v>
      </c>
      <c r="H84" s="5" t="str">
        <f t="shared" si="153"/>
        <v>27-30 months</v>
      </c>
      <c r="J84" s="6">
        <v>27.0</v>
      </c>
      <c r="K84" s="5" t="str">
        <f t="shared" ref="K84:L84" si="172">E84</f>
        <v>Throws ball overhand</v>
      </c>
      <c r="L84" s="5" t="str">
        <f t="shared" si="172"/>
        <v>Play catch games, demonstrate throwing techniques</v>
      </c>
      <c r="M84" s="4">
        <v>22.0</v>
      </c>
    </row>
    <row r="85">
      <c r="B85" s="4" t="s">
        <v>96</v>
      </c>
      <c r="C85" s="5" t="str">
        <f t="shared" ref="C85:D85" si="173">RIGHT(B85,LEN(B85)-FIND(",",B85))</f>
        <v>"Pedals a tricycle","Provide a tricycle, supervise riding"</v>
      </c>
      <c r="D85" s="5" t="str">
        <f t="shared" si="173"/>
        <v>"Provide a tricycle, supervise riding"</v>
      </c>
      <c r="E85" s="5" t="str">
        <f t="shared" si="150"/>
        <v>Pedals a tricycle</v>
      </c>
      <c r="F85" s="5" t="str">
        <f t="shared" si="151"/>
        <v>Provide a tricycle, supervise riding</v>
      </c>
      <c r="G85" s="5" t="str">
        <f t="shared" si="152"/>
        <v>27</v>
      </c>
      <c r="H85" s="5" t="str">
        <f t="shared" si="153"/>
        <v>27-30 months</v>
      </c>
      <c r="J85" s="6">
        <v>27.0</v>
      </c>
      <c r="K85" s="5" t="str">
        <f t="shared" ref="K85:L85" si="174">E85</f>
        <v>Pedals a tricycle</v>
      </c>
      <c r="L85" s="5" t="str">
        <f t="shared" si="174"/>
        <v>Provide a tricycle, supervise riding</v>
      </c>
      <c r="M85" s="4">
        <v>22.0</v>
      </c>
    </row>
    <row r="86">
      <c r="B86" s="4" t="s">
        <v>97</v>
      </c>
      <c r="C86" s="5" t="str">
        <f t="shared" ref="C86:D86" si="175">RIGHT(B86,LEN(B86)-FIND(",",B86))</f>
        <v>"Understands prepositions (in, on, under)","Give directions using prepositions, use toys for demonstration"</v>
      </c>
      <c r="D86" s="5" t="str">
        <f t="shared" si="175"/>
        <v> on, under)","Give directions using prepositions, use toys for demonstration"</v>
      </c>
      <c r="E86" s="5" t="str">
        <f t="shared" si="150"/>
        <v>Understands prepositions (i</v>
      </c>
      <c r="F86" s="5" t="str">
        <f t="shared" si="151"/>
        <v>on, under)","Give directions using prepositions, use toys for demonstration</v>
      </c>
      <c r="G86" s="5" t="str">
        <f t="shared" si="152"/>
        <v>27</v>
      </c>
      <c r="H86" s="5" t="str">
        <f t="shared" si="153"/>
        <v>27-30 months</v>
      </c>
      <c r="J86" s="6">
        <v>27.0</v>
      </c>
      <c r="K86" s="5" t="str">
        <f t="shared" ref="K86:L86" si="176">E86</f>
        <v>Understands prepositions (i</v>
      </c>
      <c r="L86" s="5" t="str">
        <f t="shared" si="176"/>
        <v>on, under)","Give directions using prepositions, use toys for demonstration</v>
      </c>
      <c r="M86" s="4">
        <v>22.0</v>
      </c>
    </row>
    <row r="87">
      <c r="B87" s="4" t="s">
        <v>98</v>
      </c>
      <c r="C87" s="5" t="str">
        <f t="shared" ref="C87:D87" si="177">RIGHT(B87,LEN(B87)-FIND(",",B87))</f>
        <v>"Begins to understand size differences","Use descriptive language, provide different sized objects"</v>
      </c>
      <c r="D87" s="5" t="str">
        <f t="shared" si="177"/>
        <v>"Use descriptive language, provide different sized objects"</v>
      </c>
      <c r="E87" s="5" t="str">
        <f t="shared" si="150"/>
        <v>Begins to understand size differences</v>
      </c>
      <c r="F87" s="5" t="str">
        <f t="shared" si="151"/>
        <v>Use descriptive language, provide different sized objects</v>
      </c>
      <c r="G87" s="5" t="str">
        <f t="shared" si="152"/>
        <v>27</v>
      </c>
      <c r="H87" s="5" t="str">
        <f t="shared" si="153"/>
        <v>27-30 months</v>
      </c>
      <c r="J87" s="6">
        <v>27.0</v>
      </c>
      <c r="K87" s="5" t="str">
        <f t="shared" ref="K87:L87" si="178">E87</f>
        <v>Begins to understand size differences</v>
      </c>
      <c r="L87" s="5" t="str">
        <f t="shared" si="178"/>
        <v>Use descriptive language, provide different sized objects</v>
      </c>
      <c r="M87" s="4">
        <v>22.0</v>
      </c>
    </row>
    <row r="88">
      <c r="B88" s="4" t="s">
        <v>99</v>
      </c>
      <c r="C88" s="5" t="str">
        <f t="shared" ref="C88:D88" si="179">RIGHT(B88,LEN(B88)-FIND(",",B88))</f>
        <v>"Recognizes own reflection","Provide mirrors, discuss reflections"</v>
      </c>
      <c r="D88" s="5" t="str">
        <f t="shared" si="179"/>
        <v>"Provide mirrors, discuss reflections"</v>
      </c>
      <c r="E88" s="5" t="str">
        <f t="shared" si="150"/>
        <v>Recognizes own reflection</v>
      </c>
      <c r="F88" s="5" t="str">
        <f t="shared" si="151"/>
        <v>Provide mirrors, discuss reflections</v>
      </c>
      <c r="G88" s="5" t="str">
        <f t="shared" si="152"/>
        <v>27</v>
      </c>
      <c r="H88" s="5" t="str">
        <f t="shared" si="153"/>
        <v>27-30 months</v>
      </c>
      <c r="J88" s="6">
        <v>27.0</v>
      </c>
      <c r="K88" s="5" t="str">
        <f t="shared" ref="K88:L88" si="180">E88</f>
        <v>Recognizes own reflection</v>
      </c>
      <c r="L88" s="5" t="str">
        <f t="shared" si="180"/>
        <v>Provide mirrors, discuss reflections</v>
      </c>
      <c r="M88" s="4">
        <v>22.0</v>
      </c>
    </row>
    <row r="89">
      <c r="B89" s="4" t="s">
        <v>100</v>
      </c>
      <c r="C89" s="5" t="str">
        <f t="shared" ref="C89:D89" si="181">RIGHT(B89,LEN(B89)-FIND(",",B89))</f>
        <v>"Follows simple rules during play","Introduce basic game rules, practice during play"</v>
      </c>
      <c r="D89" s="5" t="str">
        <f t="shared" si="181"/>
        <v>"Introduce basic game rules, practice during play"</v>
      </c>
      <c r="E89" s="5" t="str">
        <f t="shared" si="150"/>
        <v>Follows simple rules during play</v>
      </c>
      <c r="F89" s="5" t="str">
        <f t="shared" si="151"/>
        <v>Introduce basic game rules, practice during play</v>
      </c>
      <c r="G89" s="5" t="str">
        <f t="shared" si="152"/>
        <v>27</v>
      </c>
      <c r="H89" s="5" t="str">
        <f t="shared" si="153"/>
        <v>27-30 months</v>
      </c>
      <c r="J89" s="6">
        <v>27.0</v>
      </c>
      <c r="K89" s="5" t="str">
        <f t="shared" ref="K89:L89" si="182">E89</f>
        <v>Follows simple rules during play</v>
      </c>
      <c r="L89" s="5" t="str">
        <f t="shared" si="182"/>
        <v>Introduce basic game rules, practice during play</v>
      </c>
      <c r="M89" s="4">
        <v>23.0</v>
      </c>
    </row>
    <row r="90">
      <c r="B90" s="4" t="s">
        <v>101</v>
      </c>
      <c r="C90" s="5" t="str">
        <f t="shared" ref="C90:D90" si="183">RIGHT(B90,LEN(B90)-FIND(",",B90))</f>
        <v>"Engages in role-play activities","Provide props, encourage pretending"</v>
      </c>
      <c r="D90" s="5" t="str">
        <f t="shared" si="183"/>
        <v>"Provide props, encourage pretending"</v>
      </c>
      <c r="E90" s="5" t="str">
        <f t="shared" si="150"/>
        <v>Engages in role-play activities</v>
      </c>
      <c r="F90" s="5" t="str">
        <f t="shared" si="151"/>
        <v>Provide props, encourage pretending</v>
      </c>
      <c r="G90" s="5" t="str">
        <f t="shared" si="152"/>
        <v>27</v>
      </c>
      <c r="H90" s="5" t="str">
        <f t="shared" si="153"/>
        <v>27-30 months</v>
      </c>
      <c r="J90" s="6">
        <v>27.0</v>
      </c>
      <c r="K90" s="5" t="str">
        <f t="shared" ref="K90:L90" si="184">E90</f>
        <v>Engages in role-play activities</v>
      </c>
      <c r="L90" s="5" t="str">
        <f t="shared" si="184"/>
        <v>Provide props, encourage pretending</v>
      </c>
      <c r="M90" s="4">
        <v>23.0</v>
      </c>
    </row>
    <row r="91">
      <c r="B91" s="4" t="s">
        <v>102</v>
      </c>
      <c r="C91" s="5" t="str">
        <f t="shared" ref="C91:D91" si="185">RIGHT(B91,LEN(B91)-FIND(",",B91))</f>
        <v>"Counts to three","Engage in counting games, use everyday objects for counting"</v>
      </c>
      <c r="D91" s="5" t="str">
        <f t="shared" si="185"/>
        <v>"Engage in counting games, use everyday objects for counting"</v>
      </c>
      <c r="E91" s="5" t="str">
        <f t="shared" si="150"/>
        <v>Counts to three</v>
      </c>
      <c r="F91" s="5" t="str">
        <f t="shared" si="151"/>
        <v>Engage in counting games, use everyday objects for counting</v>
      </c>
      <c r="G91" s="5" t="str">
        <f t="shared" si="152"/>
        <v>27</v>
      </c>
      <c r="H91" s="5" t="str">
        <f t="shared" si="153"/>
        <v>27-30 months</v>
      </c>
      <c r="J91" s="6">
        <v>27.0</v>
      </c>
      <c r="K91" s="5" t="str">
        <f t="shared" ref="K91:L91" si="186">E91</f>
        <v>Counts to three</v>
      </c>
      <c r="L91" s="5" t="str">
        <f t="shared" si="186"/>
        <v>Engage in counting games, use everyday objects for counting</v>
      </c>
      <c r="M91" s="4">
        <v>24.0</v>
      </c>
    </row>
    <row r="92">
      <c r="B92" s="4" t="s">
        <v>103</v>
      </c>
      <c r="C92" s="5" t="str">
        <f t="shared" ref="C92:D92" si="187">RIGHT(B92,LEN(B92)-FIND(",",B92))</f>
        <v>"Speaks clearly enough for strangers to understand","Encourage speaking, provide feedback on clarity"</v>
      </c>
      <c r="D92" s="5" t="str">
        <f t="shared" si="187"/>
        <v>"Encourage speaking, provide feedback on clarity"</v>
      </c>
      <c r="E92" s="5" t="str">
        <f t="shared" si="150"/>
        <v>Speaks clearly enough for strangers to understand</v>
      </c>
      <c r="F92" s="5" t="str">
        <f t="shared" si="151"/>
        <v>Encourage speaking, provide feedback on clarity</v>
      </c>
      <c r="G92" s="5" t="str">
        <f t="shared" si="152"/>
        <v>27</v>
      </c>
      <c r="H92" s="5" t="str">
        <f t="shared" si="153"/>
        <v>27-30 months</v>
      </c>
      <c r="J92" s="6">
        <v>27.0</v>
      </c>
      <c r="K92" s="5" t="str">
        <f t="shared" ref="K92:L92" si="188">E92</f>
        <v>Speaks clearly enough for strangers to understand</v>
      </c>
      <c r="L92" s="5" t="str">
        <f t="shared" si="188"/>
        <v>Encourage speaking, provide feedback on clarity</v>
      </c>
      <c r="M92" s="4">
        <v>24.0</v>
      </c>
    </row>
    <row r="93">
      <c r="B93" s="4" t="s">
        <v>104</v>
      </c>
      <c r="C93" s="5" t="str">
        <f t="shared" ref="C93:D93" si="189">RIGHT(B93,LEN(B93)-FIND(",",B93))</f>
        <v>"Balances on one foot","Play balance games, encourage standing on one foot"</v>
      </c>
      <c r="D93" s="5" t="str">
        <f t="shared" si="189"/>
        <v>"Play balance games, encourage standing on one foot"</v>
      </c>
      <c r="E93" s="5" t="str">
        <f t="shared" si="150"/>
        <v>Balances on one foot</v>
      </c>
      <c r="F93" s="5" t="str">
        <f t="shared" si="151"/>
        <v>Play balance games, encourage standing on one foot</v>
      </c>
      <c r="G93" s="5" t="str">
        <f t="shared" si="152"/>
        <v>30</v>
      </c>
      <c r="H93" s="5" t="str">
        <f t="shared" si="153"/>
        <v>30-33 months</v>
      </c>
      <c r="J93" s="6">
        <v>30.0</v>
      </c>
      <c r="K93" s="5" t="str">
        <f t="shared" ref="K93:L93" si="190">E93</f>
        <v>Balances on one foot</v>
      </c>
      <c r="L93" s="5" t="str">
        <f t="shared" si="190"/>
        <v>Play balance games, encourage standing on one foot</v>
      </c>
      <c r="M93" s="4">
        <v>24.0</v>
      </c>
    </row>
    <row r="94">
      <c r="B94" s="4" t="s">
        <v>105</v>
      </c>
      <c r="C94" s="5" t="str">
        <f t="shared" ref="C94:D94" si="191">RIGHT(B94,LEN(B94)-FIND(",",B94))</f>
        <v>"Uses scissors to cut paper","Provide child-safe scissors, supervise cutting activities"</v>
      </c>
      <c r="D94" s="5" t="str">
        <f t="shared" si="191"/>
        <v>"Provide child-safe scissors, supervise cutting activities"</v>
      </c>
      <c r="E94" s="5" t="str">
        <f t="shared" si="150"/>
        <v>Uses scissors to cut paper</v>
      </c>
      <c r="F94" s="5" t="str">
        <f t="shared" si="151"/>
        <v>Provide child-safe scissors, supervise cutting activities</v>
      </c>
      <c r="G94" s="5" t="str">
        <f t="shared" si="152"/>
        <v>30</v>
      </c>
      <c r="H94" s="5" t="str">
        <f t="shared" si="153"/>
        <v>30-33 months</v>
      </c>
      <c r="J94" s="6">
        <v>30.0</v>
      </c>
      <c r="K94" s="5" t="str">
        <f t="shared" ref="K94:L94" si="192">E94</f>
        <v>Uses scissors to cut paper</v>
      </c>
      <c r="L94" s="5" t="str">
        <f t="shared" si="192"/>
        <v>Provide child-safe scissors, supervise cutting activities</v>
      </c>
      <c r="M94" s="4">
        <v>25.0</v>
      </c>
    </row>
    <row r="95">
      <c r="B95" s="4" t="s">
        <v>106</v>
      </c>
      <c r="C95" s="5" t="str">
        <f t="shared" ref="C95:D95" si="193">RIGHT(B95,LEN(B95)-FIND(",",B95))</f>
        <v>"Understands simple jokes and humor","Tell simple jokes, engage in playful humor"</v>
      </c>
      <c r="D95" s="5" t="str">
        <f t="shared" si="193"/>
        <v>"Tell simple jokes, engage in playful humor"</v>
      </c>
      <c r="E95" s="5" t="str">
        <f t="shared" si="150"/>
        <v>Understands simple jokes and humor</v>
      </c>
      <c r="F95" s="5" t="str">
        <f t="shared" si="151"/>
        <v>Tell simple jokes, engage in playful humor</v>
      </c>
      <c r="G95" s="5" t="str">
        <f t="shared" si="152"/>
        <v>30</v>
      </c>
      <c r="H95" s="5" t="str">
        <f t="shared" si="153"/>
        <v>30-33 months</v>
      </c>
      <c r="J95" s="6">
        <v>30.0</v>
      </c>
      <c r="K95" s="5" t="str">
        <f t="shared" ref="K95:L95" si="194">E95</f>
        <v>Understands simple jokes and humor</v>
      </c>
      <c r="L95" s="5" t="str">
        <f t="shared" si="194"/>
        <v>Tell simple jokes, engage in playful humor</v>
      </c>
      <c r="M95" s="4">
        <v>25.0</v>
      </c>
    </row>
    <row r="96">
      <c r="B96" s="4" t="s">
        <v>107</v>
      </c>
      <c r="C96" s="5" t="str">
        <f t="shared" ref="C96:D96" si="195">RIGHT(B96,LEN(B96)-FIND(",",B96))</f>
        <v>"Plays make-believe with dolls, animals, and people","Provide toys for imaginative play, join in"</v>
      </c>
      <c r="D96" s="5" t="str">
        <f t="shared" si="195"/>
        <v> animals, and people","Provide toys for imaginative play, join in"</v>
      </c>
      <c r="E96" s="5" t="str">
        <f t="shared" si="150"/>
        <v>Plays make-believe with doll</v>
      </c>
      <c r="F96" s="5" t="str">
        <f t="shared" si="151"/>
        <v>animals, and people","Provide toys for imaginative play, join in</v>
      </c>
      <c r="G96" s="5" t="str">
        <f t="shared" si="152"/>
        <v>30</v>
      </c>
      <c r="H96" s="5" t="str">
        <f t="shared" si="153"/>
        <v>30-33 months</v>
      </c>
      <c r="J96" s="6">
        <v>30.0</v>
      </c>
      <c r="K96" s="5" t="str">
        <f t="shared" ref="K96:L96" si="196">E96</f>
        <v>Plays make-believe with doll</v>
      </c>
      <c r="L96" s="5" t="str">
        <f t="shared" si="196"/>
        <v>animals, and people","Provide toys for imaginative play, join in</v>
      </c>
      <c r="M96" s="4">
        <v>25.0</v>
      </c>
    </row>
    <row r="97">
      <c r="B97" s="4" t="s">
        <v>108</v>
      </c>
      <c r="C97" s="5" t="str">
        <f t="shared" ref="C97:D97" si="197">RIGHT(B97,LEN(B97)-FIND(",",B97))</f>
        <v>"Recites simple rhymes and songs","Sing together, practice favorite rhymes"</v>
      </c>
      <c r="D97" s="5" t="str">
        <f t="shared" si="197"/>
        <v>"Sing together, practice favorite rhymes"</v>
      </c>
      <c r="E97" s="5" t="str">
        <f t="shared" si="150"/>
        <v>Recites simple rhymes and songs</v>
      </c>
      <c r="F97" s="5" t="str">
        <f t="shared" si="151"/>
        <v>Sing together, practice favorite rhymes</v>
      </c>
      <c r="G97" s="5" t="str">
        <f t="shared" si="152"/>
        <v>30</v>
      </c>
      <c r="H97" s="5" t="str">
        <f t="shared" si="153"/>
        <v>30-33 months</v>
      </c>
      <c r="J97" s="6">
        <v>30.0</v>
      </c>
      <c r="K97" s="5" t="str">
        <f t="shared" ref="K97:L97" si="198">E97</f>
        <v>Recites simple rhymes and songs</v>
      </c>
      <c r="L97" s="5" t="str">
        <f t="shared" si="198"/>
        <v>Sing together, practice favorite rhymes</v>
      </c>
      <c r="M97" s="4">
        <v>25.0</v>
      </c>
    </row>
    <row r="98">
      <c r="B98" s="4" t="s">
        <v>109</v>
      </c>
      <c r="C98" s="5" t="str">
        <f t="shared" ref="C98:D98" si="199">RIGHT(B98,LEN(B98)-FIND(",",B98))</f>
        <v>"Draws circles","Provide paper and crayons, demonstrate drawing circles"</v>
      </c>
      <c r="D98" s="5" t="str">
        <f t="shared" si="199"/>
        <v>"Provide paper and crayons, demonstrate drawing circles"</v>
      </c>
      <c r="E98" s="5" t="str">
        <f t="shared" si="150"/>
        <v>Draws circles</v>
      </c>
      <c r="F98" s="5" t="str">
        <f t="shared" si="151"/>
        <v>Provide paper and crayons, demonstrate drawing circles</v>
      </c>
      <c r="G98" s="5" t="str">
        <f t="shared" si="152"/>
        <v>30</v>
      </c>
      <c r="H98" s="5" t="str">
        <f t="shared" si="153"/>
        <v>30-33 months</v>
      </c>
      <c r="J98" s="6">
        <v>30.0</v>
      </c>
      <c r="K98" s="5" t="str">
        <f t="shared" ref="K98:L98" si="200">E98</f>
        <v>Draws circles</v>
      </c>
      <c r="L98" s="5" t="str">
        <f t="shared" si="200"/>
        <v>Provide paper and crayons, demonstrate drawing circles</v>
      </c>
      <c r="M98" s="4">
        <v>25.0</v>
      </c>
    </row>
    <row r="99">
      <c r="B99" s="4" t="s">
        <v>110</v>
      </c>
      <c r="C99" s="5" t="str">
        <f t="shared" ref="C99:D99" si="201">RIGHT(B99,LEN(B99)-FIND(",",B99))</f>
        <v>"Begins to share with others","Encourage sharing, praise cooperative behavior"</v>
      </c>
      <c r="D99" s="5" t="str">
        <f t="shared" si="201"/>
        <v>"Encourage sharing, praise cooperative behavior"</v>
      </c>
      <c r="E99" s="5" t="str">
        <f t="shared" si="150"/>
        <v>Begins to share with others</v>
      </c>
      <c r="F99" s="5" t="str">
        <f t="shared" si="151"/>
        <v>Encourage sharing, praise cooperative behavior</v>
      </c>
      <c r="G99" s="5" t="str">
        <f t="shared" si="152"/>
        <v>30</v>
      </c>
      <c r="H99" s="5" t="str">
        <f t="shared" si="153"/>
        <v>30-33 months</v>
      </c>
      <c r="J99" s="6">
        <v>30.0</v>
      </c>
      <c r="K99" s="5" t="str">
        <f t="shared" ref="K99:L99" si="202">E99</f>
        <v>Begins to share with others</v>
      </c>
      <c r="L99" s="5" t="str">
        <f t="shared" si="202"/>
        <v>Encourage sharing, praise cooperative behavior</v>
      </c>
      <c r="M99" s="4">
        <v>25.0</v>
      </c>
    </row>
    <row r="100">
      <c r="B100" s="4" t="s">
        <v>111</v>
      </c>
      <c r="C100" s="5" t="str">
        <f t="shared" ref="C100:D100" si="203">RIGHT(B100,LEN(B100)-FIND(",",B100))</f>
        <v>"Knows basic body parts","Play naming games, use songs about body parts"</v>
      </c>
      <c r="D100" s="5" t="str">
        <f t="shared" si="203"/>
        <v>"Play naming games, use songs about body parts"</v>
      </c>
      <c r="E100" s="5" t="str">
        <f t="shared" si="150"/>
        <v>Knows basic body parts</v>
      </c>
      <c r="F100" s="5" t="str">
        <f t="shared" si="151"/>
        <v>Play naming games, use songs about body parts</v>
      </c>
      <c r="G100" s="5" t="str">
        <f t="shared" si="152"/>
        <v>30</v>
      </c>
      <c r="H100" s="5" t="str">
        <f t="shared" si="153"/>
        <v>30-33 months</v>
      </c>
      <c r="J100" s="6">
        <v>30.0</v>
      </c>
      <c r="K100" s="5" t="str">
        <f t="shared" ref="K100:L100" si="204">E100</f>
        <v>Knows basic body parts</v>
      </c>
      <c r="L100" s="5" t="str">
        <f t="shared" si="204"/>
        <v>Play naming games, use songs about body parts</v>
      </c>
      <c r="M100" s="4">
        <v>25.0</v>
      </c>
    </row>
    <row r="101">
      <c r="B101" s="4" t="s">
        <v>112</v>
      </c>
      <c r="C101" s="5" t="str">
        <f t="shared" ref="C101:D101" si="205">RIGHT(B101,LEN(B101)-FIND(",",B101))</f>
        <v>"Matches objects to pictures","Provide matching games, practice identifying objects"</v>
      </c>
      <c r="D101" s="5" t="str">
        <f t="shared" si="205"/>
        <v>"Provide matching games, practice identifying objects"</v>
      </c>
      <c r="E101" s="5" t="str">
        <f t="shared" si="150"/>
        <v>Matches objects to pictures</v>
      </c>
      <c r="F101" s="5" t="str">
        <f t="shared" si="151"/>
        <v>Provide matching games, practice identifying objects</v>
      </c>
      <c r="G101" s="5" t="str">
        <f t="shared" si="152"/>
        <v>30</v>
      </c>
      <c r="H101" s="5" t="str">
        <f t="shared" si="153"/>
        <v>30-33 months</v>
      </c>
      <c r="J101" s="6">
        <v>30.0</v>
      </c>
      <c r="K101" s="5" t="str">
        <f t="shared" ref="K101:L101" si="206">E101</f>
        <v>Matches objects to pictures</v>
      </c>
      <c r="L101" s="5" t="str">
        <f t="shared" si="206"/>
        <v>Provide matching games, practice identifying objects</v>
      </c>
      <c r="M101" s="4">
        <v>25.0</v>
      </c>
    </row>
    <row r="102">
      <c r="B102" s="4" t="s">
        <v>113</v>
      </c>
      <c r="C102" s="5" t="str">
        <f t="shared" ref="C102:D102" si="207">RIGHT(B102,LEN(B102)-FIND(",",B102))</f>
        <v>"Recognizes familiar signs and logos","Point out signs and logos, discuss their meanings"</v>
      </c>
      <c r="D102" s="5" t="str">
        <f t="shared" si="207"/>
        <v>"Point out signs and logos, discuss their meanings"</v>
      </c>
      <c r="E102" s="5" t="str">
        <f t="shared" si="150"/>
        <v>Recognizes familiar signs and logos</v>
      </c>
      <c r="F102" s="5" t="str">
        <f t="shared" si="151"/>
        <v>Point out signs and logos, discuss their meanings</v>
      </c>
      <c r="G102" s="5" t="str">
        <f t="shared" si="152"/>
        <v>30</v>
      </c>
      <c r="H102" s="5" t="str">
        <f t="shared" si="153"/>
        <v>30-33 months</v>
      </c>
      <c r="J102" s="6">
        <v>30.0</v>
      </c>
      <c r="K102" s="5" t="str">
        <f t="shared" ref="K102:L102" si="208">E102</f>
        <v>Recognizes familiar signs and logos</v>
      </c>
      <c r="L102" s="5" t="str">
        <f t="shared" si="208"/>
        <v>Point out signs and logos, discuss their meanings</v>
      </c>
      <c r="M102" s="4">
        <v>26.0</v>
      </c>
    </row>
    <row r="103">
      <c r="B103" s="4" t="s">
        <v>114</v>
      </c>
      <c r="C103" s="5" t="str">
        <f t="shared" ref="C103:D103" si="209">RIGHT(B103,LEN(B103)-FIND(",",B103))</f>
        <v>"Rides a tricycle","Provide a tricycle, supervise riding"</v>
      </c>
      <c r="D103" s="5" t="str">
        <f t="shared" si="209"/>
        <v>"Provide a tricycle, supervise riding"</v>
      </c>
      <c r="E103" s="5" t="str">
        <f t="shared" si="150"/>
        <v>Rides a tricycle</v>
      </c>
      <c r="F103" s="5" t="str">
        <f t="shared" si="151"/>
        <v>Provide a tricycle, supervise riding</v>
      </c>
      <c r="G103" s="5" t="str">
        <f t="shared" si="152"/>
        <v>33</v>
      </c>
      <c r="H103" s="5" t="str">
        <f t="shared" si="153"/>
        <v>33-36 months</v>
      </c>
      <c r="J103" s="6">
        <v>33.0</v>
      </c>
      <c r="K103" s="5" t="str">
        <f t="shared" ref="K103:L103" si="210">E103</f>
        <v>Rides a tricycle</v>
      </c>
      <c r="L103" s="5" t="str">
        <f t="shared" si="210"/>
        <v>Provide a tricycle, supervise riding</v>
      </c>
      <c r="M103" s="4">
        <v>26.0</v>
      </c>
    </row>
    <row r="104">
      <c r="B104" s="4" t="s">
        <v>115</v>
      </c>
      <c r="C104" s="5" t="str">
        <f t="shared" ref="C104:D104" si="211">RIGHT(B104,LEN(B104)-FIND(",",B104))</f>
        <v>"Sorts objects by shape and color","Provide sorting toys, encourage categorization"</v>
      </c>
      <c r="D104" s="5" t="str">
        <f t="shared" si="211"/>
        <v>"Provide sorting toys, encourage categorization"</v>
      </c>
      <c r="E104" s="5" t="str">
        <f t="shared" si="150"/>
        <v>Sorts objects by shape and color</v>
      </c>
      <c r="F104" s="5" t="str">
        <f t="shared" si="151"/>
        <v>Provide sorting toys, encourage categorization</v>
      </c>
      <c r="G104" s="5" t="str">
        <f t="shared" si="152"/>
        <v>33</v>
      </c>
      <c r="H104" s="5" t="str">
        <f t="shared" si="153"/>
        <v>33-36 months</v>
      </c>
      <c r="J104" s="6">
        <v>33.0</v>
      </c>
      <c r="K104" s="5" t="str">
        <f t="shared" ref="K104:L104" si="212">E104</f>
        <v>Sorts objects by shape and color</v>
      </c>
      <c r="L104" s="5" t="str">
        <f t="shared" si="212"/>
        <v>Provide sorting toys, encourage categorization</v>
      </c>
      <c r="M104" s="4">
        <v>26.0</v>
      </c>
    </row>
    <row r="105">
      <c r="B105" s="4" t="s">
        <v>116</v>
      </c>
      <c r="C105" s="5" t="str">
        <f t="shared" ref="C105:D105" si="213">RIGHT(B105,LEN(B105)-FIND(",",B105))</f>
        <v>"Uses pronouns (I, me, you)","Model correct pronoun usage, engage in conversations"</v>
      </c>
      <c r="D105" s="5" t="str">
        <f t="shared" si="213"/>
        <v> me, you)","Model correct pronoun usage, engage in conversations"</v>
      </c>
      <c r="E105" s="5" t="str">
        <f t="shared" si="150"/>
        <v>Uses pronouns (</v>
      </c>
      <c r="F105" s="5" t="str">
        <f t="shared" si="151"/>
        <v>me, you)","Model correct pronoun usage, engage in conversations</v>
      </c>
      <c r="G105" s="5" t="str">
        <f t="shared" si="152"/>
        <v>33</v>
      </c>
      <c r="H105" s="5" t="str">
        <f t="shared" si="153"/>
        <v>33-36 months</v>
      </c>
      <c r="J105" s="6">
        <v>33.0</v>
      </c>
      <c r="K105" s="5" t="str">
        <f t="shared" ref="K105:L105" si="214">E105</f>
        <v>Uses pronouns (</v>
      </c>
      <c r="L105" s="5" t="str">
        <f t="shared" si="214"/>
        <v>me, you)","Model correct pronoun usage, engage in conversations</v>
      </c>
      <c r="M105" s="4">
        <v>26.0</v>
      </c>
    </row>
    <row r="106">
      <c r="B106" s="4" t="s">
        <v>117</v>
      </c>
      <c r="C106" s="5" t="str">
        <f t="shared" ref="C106:D106" si="215">RIGHT(B106,LEN(B106)-FIND(",",B106))</f>
        <v>"Understands spatial concepts (inside, outside)","Use spatial language, play games involving space"</v>
      </c>
      <c r="D106" s="5" t="str">
        <f t="shared" si="215"/>
        <v> outside)","Use spatial language, play games involving space"</v>
      </c>
      <c r="E106" s="5" t="str">
        <f t="shared" si="150"/>
        <v>Understands spatial concepts (insid</v>
      </c>
      <c r="F106" s="5" t="str">
        <f t="shared" si="151"/>
        <v>outside)","Use spatial language, play games involving space</v>
      </c>
      <c r="G106" s="5" t="str">
        <f t="shared" si="152"/>
        <v>33</v>
      </c>
      <c r="H106" s="5" t="str">
        <f t="shared" si="153"/>
        <v>33-36 months</v>
      </c>
      <c r="J106" s="6">
        <v>33.0</v>
      </c>
      <c r="K106" s="5" t="str">
        <f t="shared" ref="K106:L106" si="216">E106</f>
        <v>Understands spatial concepts (insid</v>
      </c>
      <c r="L106" s="5" t="str">
        <f t="shared" si="216"/>
        <v>outside)","Use spatial language, play games involving space</v>
      </c>
      <c r="M106" s="4">
        <v>26.0</v>
      </c>
    </row>
    <row r="107">
      <c r="B107" s="4" t="s">
        <v>118</v>
      </c>
      <c r="C107" s="5" t="str">
        <f t="shared" ref="C107:D107" si="217">RIGHT(B107,LEN(B107)-FIND(",",B107))</f>
        <v>"Plays board games with simple rules","Introduce simple games, practice turn-taking"</v>
      </c>
      <c r="D107" s="5" t="str">
        <f t="shared" si="217"/>
        <v>"Introduce simple games, practice turn-taking"</v>
      </c>
      <c r="E107" s="5" t="str">
        <f t="shared" si="150"/>
        <v>Plays board games with simple rules</v>
      </c>
      <c r="F107" s="5" t="str">
        <f t="shared" si="151"/>
        <v>Introduce simple games, practice turn-taking</v>
      </c>
      <c r="G107" s="5" t="str">
        <f t="shared" si="152"/>
        <v>33</v>
      </c>
      <c r="H107" s="5" t="str">
        <f t="shared" si="153"/>
        <v>33-36 months</v>
      </c>
      <c r="J107" s="6">
        <v>33.0</v>
      </c>
      <c r="K107" s="5" t="str">
        <f t="shared" ref="K107:L107" si="218">E107</f>
        <v>Plays board games with simple rules</v>
      </c>
      <c r="L107" s="5" t="str">
        <f t="shared" si="218"/>
        <v>Introduce simple games, practice turn-taking</v>
      </c>
      <c r="M107" s="4">
        <v>26.0</v>
      </c>
    </row>
    <row r="108">
      <c r="B108" s="4" t="s">
        <v>119</v>
      </c>
      <c r="C108" s="5" t="str">
        <f t="shared" ref="C108:D108" si="219">RIGHT(B108,LEN(B108)-FIND(",",B108))</f>
        <v>"Recites the alphabet","Sing the alphabet song, practice letter recognition"</v>
      </c>
      <c r="D108" s="5" t="str">
        <f t="shared" si="219"/>
        <v>"Sing the alphabet song, practice letter recognition"</v>
      </c>
      <c r="E108" s="5" t="str">
        <f t="shared" si="150"/>
        <v>Recites the alphabet</v>
      </c>
      <c r="F108" s="5" t="str">
        <f t="shared" si="151"/>
        <v>Sing the alphabet song, practice letter recognition</v>
      </c>
      <c r="G108" s="5" t="str">
        <f t="shared" si="152"/>
        <v>33</v>
      </c>
      <c r="H108" s="5" t="str">
        <f t="shared" si="153"/>
        <v>33-36 months</v>
      </c>
      <c r="J108" s="6">
        <v>33.0</v>
      </c>
      <c r="K108" s="5" t="str">
        <f t="shared" ref="K108:L108" si="220">E108</f>
        <v>Recites the alphabet</v>
      </c>
      <c r="L108" s="5" t="str">
        <f t="shared" si="220"/>
        <v>Sing the alphabet song, practice letter recognition</v>
      </c>
      <c r="M108" s="4">
        <v>21.0</v>
      </c>
    </row>
    <row r="109">
      <c r="B109" s="4" t="s">
        <v>120</v>
      </c>
      <c r="C109" s="5" t="str">
        <f t="shared" ref="C109:D109" si="221">RIGHT(B109,LEN(B109)-FIND(",",B109))</f>
        <v>"Counts to ten","Engage in counting activities, use everyday objects for practice"</v>
      </c>
      <c r="D109" s="5" t="str">
        <f t="shared" si="221"/>
        <v>"Engage in counting activities, use everyday objects for practice"</v>
      </c>
      <c r="E109" s="5" t="str">
        <f t="shared" si="150"/>
        <v>Counts to ten</v>
      </c>
      <c r="F109" s="5" t="str">
        <f t="shared" si="151"/>
        <v>Engage in counting activities, use everyday objects for practice</v>
      </c>
      <c r="G109" s="5" t="str">
        <f t="shared" si="152"/>
        <v>33</v>
      </c>
      <c r="H109" s="5" t="str">
        <f t="shared" si="153"/>
        <v>33-36 months</v>
      </c>
      <c r="J109" s="6">
        <v>33.0</v>
      </c>
      <c r="K109" s="5" t="str">
        <f t="shared" ref="K109:L109" si="222">E109</f>
        <v>Counts to ten</v>
      </c>
      <c r="L109" s="5" t="str">
        <f t="shared" si="222"/>
        <v>Engage in counting activities, use everyday objects for practice</v>
      </c>
      <c r="M109" s="4">
        <v>26.0</v>
      </c>
    </row>
    <row r="110">
      <c r="B110" s="4" t="s">
        <v>121</v>
      </c>
      <c r="C110" s="5" t="str">
        <f t="shared" ref="C110:D110" si="223">RIGHT(B110,LEN(B110)-FIND(",",B110))</f>
        <v>"Names friends","Encourage social interactions, discuss friends and relationships"</v>
      </c>
      <c r="D110" s="5" t="str">
        <f t="shared" si="223"/>
        <v>"Encourage social interactions, discuss friends and relationships"</v>
      </c>
      <c r="E110" s="5" t="str">
        <f t="shared" si="150"/>
        <v>Names friends</v>
      </c>
      <c r="F110" s="5" t="str">
        <f t="shared" si="151"/>
        <v>Encourage social interactions, discuss friends and relationships</v>
      </c>
      <c r="G110" s="5" t="str">
        <f t="shared" si="152"/>
        <v>33</v>
      </c>
      <c r="H110" s="5" t="str">
        <f t="shared" si="153"/>
        <v>33-36 months</v>
      </c>
      <c r="J110" s="6">
        <v>33.0</v>
      </c>
      <c r="K110" s="5" t="str">
        <f t="shared" ref="K110:L110" si="224">E110</f>
        <v>Names friends</v>
      </c>
      <c r="L110" s="5" t="str">
        <f t="shared" si="224"/>
        <v>Encourage social interactions, discuss friends and relationships</v>
      </c>
      <c r="M110" s="4">
        <v>26.0</v>
      </c>
    </row>
    <row r="111">
      <c r="B111" s="4" t="s">
        <v>122</v>
      </c>
      <c r="C111" s="5" t="str">
        <f t="shared" ref="C111:D111" si="225">RIGHT(B111,LEN(B111)-FIND(",",B111))</f>
        <v>"Builds complex structures with blocks","Provide more blocks, encourage creative building"</v>
      </c>
      <c r="D111" s="5" t="str">
        <f t="shared" si="225"/>
        <v>"Provide more blocks, encourage creative building"</v>
      </c>
      <c r="E111" s="5" t="str">
        <f t="shared" si="150"/>
        <v>Builds complex structures with blocks</v>
      </c>
      <c r="F111" s="5" t="str">
        <f t="shared" si="151"/>
        <v>Provide more blocks, encourage creative building</v>
      </c>
      <c r="G111" s="5" t="str">
        <f t="shared" si="152"/>
        <v>33</v>
      </c>
      <c r="H111" s="5" t="str">
        <f t="shared" si="153"/>
        <v>33-36 months</v>
      </c>
      <c r="J111" s="6">
        <v>33.0</v>
      </c>
      <c r="K111" s="5" t="str">
        <f t="shared" ref="K111:L111" si="226">E111</f>
        <v>Builds complex structures with blocks</v>
      </c>
      <c r="L111" s="5" t="str">
        <f t="shared" si="226"/>
        <v>Provide more blocks, encourage creative building</v>
      </c>
      <c r="M111" s="4">
        <v>26.0</v>
      </c>
    </row>
    <row r="112">
      <c r="B112" s="4" t="s">
        <v>123</v>
      </c>
      <c r="C112" s="5" t="str">
        <f t="shared" ref="C112:D112" si="227">RIGHT(B112,LEN(B112)-FIND(",",B112))</f>
        <v>"Understands and follows complex instructions","Give detailed directions, reinforce with praise"</v>
      </c>
      <c r="D112" s="5" t="str">
        <f t="shared" si="227"/>
        <v>"Give detailed directions, reinforce with praise"</v>
      </c>
      <c r="E112" s="5" t="str">
        <f t="shared" si="150"/>
        <v>Understands and follows complex instructions</v>
      </c>
      <c r="F112" s="5" t="str">
        <f t="shared" si="151"/>
        <v>Give detailed directions, reinforce with praise</v>
      </c>
      <c r="G112" s="5" t="str">
        <f t="shared" si="152"/>
        <v>33</v>
      </c>
      <c r="H112" s="5" t="str">
        <f t="shared" si="153"/>
        <v>33-36 months</v>
      </c>
      <c r="J112" s="6">
        <v>33.0</v>
      </c>
      <c r="K112" s="5" t="str">
        <f t="shared" ref="K112:L112" si="228">E112</f>
        <v>Understands and follows complex instructions</v>
      </c>
      <c r="L112" s="5" t="str">
        <f t="shared" si="228"/>
        <v>Give detailed directions, reinforce with praise</v>
      </c>
      <c r="M112" s="4">
        <v>26.0</v>
      </c>
    </row>
    <row r="113">
      <c r="B113" s="4" t="s">
        <v>124</v>
      </c>
      <c r="C113" s="5" t="str">
        <f t="shared" ref="C113:D113" si="229">RIGHT(B113,LEN(B113)-FIND(",",B113))</f>
        <v>"Recognizes and names many colors","Play color identification games, use colorful objects"</v>
      </c>
      <c r="D113" s="5" t="str">
        <f t="shared" si="229"/>
        <v>"Play color identification games, use colorful objects"</v>
      </c>
      <c r="E113" s="5" t="str">
        <f t="shared" si="150"/>
        <v>Recognizes and names many colors</v>
      </c>
      <c r="F113" s="5" t="str">
        <f t="shared" si="151"/>
        <v>Play color identification games, use colorful objects</v>
      </c>
      <c r="G113" s="5" t="str">
        <f t="shared" si="152"/>
        <v>33</v>
      </c>
      <c r="H113" s="5" t="str">
        <f t="shared" si="153"/>
        <v>33-36 months</v>
      </c>
      <c r="J113" s="6">
        <v>33.0</v>
      </c>
      <c r="K113" s="5" t="str">
        <f t="shared" ref="K113:L113" si="230">E113</f>
        <v>Recognizes and names many colors</v>
      </c>
      <c r="L113" s="5" t="str">
        <f t="shared" si="230"/>
        <v>Play color identification games, use colorful objects</v>
      </c>
      <c r="M113" s="4">
        <v>26.0</v>
      </c>
    </row>
    <row r="114">
      <c r="B114" s="4" t="s">
        <v>125</v>
      </c>
      <c r="C114" s="5" t="str">
        <f t="shared" ref="C114:D114" si="231">RIGHT(B114,LEN(B114)-FIND(",",B114))</f>
        <v>"Asks 'why' questions","Answer questions patiently, encourage curiosity"</v>
      </c>
      <c r="D114" s="5" t="str">
        <f t="shared" si="231"/>
        <v>"Answer questions patiently, encourage curiosity"</v>
      </c>
      <c r="E114" s="5" t="str">
        <f t="shared" si="150"/>
        <v>Asks 'why' questions</v>
      </c>
      <c r="F114" s="5" t="str">
        <f t="shared" si="151"/>
        <v>Answer questions patiently, encourage curiosity</v>
      </c>
      <c r="G114" s="5" t="str">
        <f t="shared" si="152"/>
        <v>33</v>
      </c>
      <c r="H114" s="5" t="str">
        <f t="shared" si="153"/>
        <v>33-36 months</v>
      </c>
      <c r="J114" s="6">
        <v>33.0</v>
      </c>
      <c r="K114" s="5" t="str">
        <f t="shared" ref="K114:L114" si="232">E114</f>
        <v>Asks 'why' questions</v>
      </c>
      <c r="L114" s="5" t="str">
        <f t="shared" si="232"/>
        <v>Answer questions patiently, encourage curiosity</v>
      </c>
      <c r="M114" s="4">
        <v>28.0</v>
      </c>
    </row>
    <row r="115">
      <c r="B115" s="4" t="s">
        <v>126</v>
      </c>
      <c r="C115" s="5" t="str">
        <f t="shared" ref="C115:D115" si="233">RIGHT(B115,LEN(B115)-FIND(",",B115))</f>
        <v>"Engages in imaginative play","Provide dress-up clothes and props, join in pretend play"</v>
      </c>
      <c r="D115" s="5" t="str">
        <f t="shared" si="233"/>
        <v>"Provide dress-up clothes and props, join in pretend play"</v>
      </c>
      <c r="E115" s="5" t="str">
        <f t="shared" si="150"/>
        <v>Engages in imaginative play</v>
      </c>
      <c r="F115" s="5" t="str">
        <f t="shared" si="151"/>
        <v>Provide dress-up clothes and props, join in pretend play</v>
      </c>
      <c r="G115" s="5" t="str">
        <f t="shared" si="152"/>
        <v>33</v>
      </c>
      <c r="H115" s="5" t="str">
        <f t="shared" si="153"/>
        <v>33-36 months</v>
      </c>
      <c r="J115" s="6">
        <v>33.0</v>
      </c>
      <c r="K115" s="5" t="str">
        <f t="shared" ref="K115:L115" si="234">E115</f>
        <v>Engages in imaginative play</v>
      </c>
      <c r="L115" s="5" t="str">
        <f t="shared" si="234"/>
        <v>Provide dress-up clothes and props, join in pretend play</v>
      </c>
      <c r="M115" s="4">
        <v>26.0</v>
      </c>
    </row>
    <row r="116">
      <c r="B116" s="4" t="s">
        <v>127</v>
      </c>
      <c r="C116" s="5" t="str">
        <f t="shared" ref="C116:D116" si="235">RIGHT(B116,LEN(B116)-FIND(",",B116))</f>
        <v>"Recognizes written numbers and letters","Use flashcards, practice writing and recognition"</v>
      </c>
      <c r="D116" s="5" t="str">
        <f t="shared" si="235"/>
        <v>"Use flashcards, practice writing and recognition"</v>
      </c>
      <c r="E116" s="5" t="str">
        <f t="shared" si="150"/>
        <v>Recognizes written numbers and letters</v>
      </c>
      <c r="F116" s="5" t="str">
        <f t="shared" si="151"/>
        <v>Use flashcards, practice writing and recognition</v>
      </c>
      <c r="G116" s="5" t="str">
        <f t="shared" si="152"/>
        <v>33</v>
      </c>
      <c r="H116" s="5" t="str">
        <f t="shared" si="153"/>
        <v>33-36 months</v>
      </c>
      <c r="J116" s="6">
        <v>33.0</v>
      </c>
      <c r="K116" s="5" t="str">
        <f t="shared" ref="K116:L116" si="236">E116</f>
        <v>Recognizes written numbers and letters</v>
      </c>
      <c r="L116" s="5" t="str">
        <f t="shared" si="236"/>
        <v>Use flashcards, practice writing and recognition</v>
      </c>
      <c r="M116" s="4">
        <v>28.0</v>
      </c>
    </row>
    <row r="117">
      <c r="B117" s="4" t="s">
        <v>128</v>
      </c>
      <c r="C117" s="5" t="str">
        <f t="shared" ref="C117:D117" si="237">RIGHT(B117,LEN(B117)-FIND(",",B117))</f>
        <v>"Participates in group activities","Facilitate group play, teach cooperation"</v>
      </c>
      <c r="D117" s="5" t="str">
        <f t="shared" si="237"/>
        <v>"Facilitate group play, teach cooperation"</v>
      </c>
      <c r="E117" s="5" t="str">
        <f t="shared" si="150"/>
        <v>Participates in group activities</v>
      </c>
      <c r="F117" s="5" t="str">
        <f t="shared" si="151"/>
        <v>Facilitate group play, teach cooperation</v>
      </c>
      <c r="G117" s="5" t="str">
        <f t="shared" si="152"/>
        <v>33</v>
      </c>
      <c r="H117" s="5" t="str">
        <f t="shared" si="153"/>
        <v>33-36 months</v>
      </c>
      <c r="J117" s="6">
        <v>33.0</v>
      </c>
      <c r="K117" s="5" t="str">
        <f t="shared" ref="K117:L117" si="238">E117</f>
        <v>Participates in group activities</v>
      </c>
      <c r="L117" s="5" t="str">
        <f t="shared" si="238"/>
        <v>Facilitate group play, teach cooperation</v>
      </c>
      <c r="M117" s="4">
        <v>28.0</v>
      </c>
    </row>
    <row r="118">
      <c r="B118" s="4" t="s">
        <v>129</v>
      </c>
      <c r="C118" s="5" t="str">
        <f t="shared" ref="C118:D118" si="239">RIGHT(B118,LEN(B118)-FIND(",",B118))</f>
        <v>"Speaks in full sentences","Encourage storytelling, ask open-ended questions"</v>
      </c>
      <c r="D118" s="5" t="str">
        <f t="shared" si="239"/>
        <v>"Encourage storytelling, ask open-ended questions"</v>
      </c>
      <c r="E118" s="5" t="str">
        <f t="shared" si="150"/>
        <v>Speaks in full sentences</v>
      </c>
      <c r="F118" s="5" t="str">
        <f t="shared" si="151"/>
        <v>Encourage storytelling, ask open-ended questions</v>
      </c>
      <c r="G118" s="5" t="str">
        <f t="shared" si="152"/>
        <v>33</v>
      </c>
      <c r="H118" s="5" t="str">
        <f t="shared" si="153"/>
        <v>33-36 months</v>
      </c>
      <c r="J118" s="6">
        <v>33.0</v>
      </c>
      <c r="K118" s="5" t="str">
        <f t="shared" ref="K118:L118" si="240">E118</f>
        <v>Speaks in full sentences</v>
      </c>
      <c r="L118" s="5" t="str">
        <f t="shared" si="240"/>
        <v>Encourage storytelling, ask open-ended questions</v>
      </c>
      <c r="M118" s="4">
        <v>28.0</v>
      </c>
    </row>
    <row r="119">
      <c r="B119" s="4" t="s">
        <v>130</v>
      </c>
      <c r="C119" s="5" t="str">
        <f t="shared" ref="C119:D119" si="241">RIGHT(B119,LEN(B119)-FIND(",",B119))</f>
        <v>"Balances on one foot for a few seconds","Play balance games, encourage standing on one foot"</v>
      </c>
      <c r="D119" s="5" t="str">
        <f t="shared" si="241"/>
        <v>"Play balance games, encourage standing on one foot"</v>
      </c>
      <c r="E119" s="5" t="str">
        <f t="shared" si="150"/>
        <v>Balances on one foot for a few seconds</v>
      </c>
      <c r="F119" s="5" t="str">
        <f t="shared" si="151"/>
        <v>Play balance games, encourage standing on one foot</v>
      </c>
      <c r="G119" s="4">
        <v>36.0</v>
      </c>
      <c r="H119" s="5" t="str">
        <f t="shared" si="153"/>
        <v>36 months</v>
      </c>
      <c r="J119" s="7">
        <f t="shared" ref="J119:J138" si="244">G119</f>
        <v>36</v>
      </c>
      <c r="K119" s="5" t="str">
        <f t="shared" ref="K119:L119" si="242">E119</f>
        <v>Balances on one foot for a few seconds</v>
      </c>
      <c r="L119" s="5" t="str">
        <f t="shared" si="242"/>
        <v>Play balance games, encourage standing on one foot</v>
      </c>
      <c r="M119" s="4">
        <v>28.0</v>
      </c>
    </row>
    <row r="120">
      <c r="B120" s="4" t="s">
        <v>131</v>
      </c>
      <c r="C120" s="5" t="str">
        <f t="shared" ref="C120:D120" si="243">RIGHT(B120,LEN(B120)-FIND(",",B120))</f>
        <v>"Uses correct tense and plurals","Model correct grammar, engage in conversations"</v>
      </c>
      <c r="D120" s="5" t="str">
        <f t="shared" si="243"/>
        <v>"Model correct grammar, engage in conversations"</v>
      </c>
      <c r="E120" s="5" t="str">
        <f t="shared" si="150"/>
        <v>Uses correct tense and plurals</v>
      </c>
      <c r="F120" s="5" t="str">
        <f t="shared" si="151"/>
        <v>Model correct grammar, engage in conversations</v>
      </c>
      <c r="G120" s="4">
        <v>36.0</v>
      </c>
      <c r="H120" s="5" t="str">
        <f t="shared" si="153"/>
        <v>36 months</v>
      </c>
      <c r="J120" s="7">
        <f t="shared" si="244"/>
        <v>36</v>
      </c>
      <c r="K120" s="5" t="str">
        <f t="shared" ref="K120:L120" si="245">E120</f>
        <v>Uses correct tense and plurals</v>
      </c>
      <c r="L120" s="5" t="str">
        <f t="shared" si="245"/>
        <v>Model correct grammar, engage in conversations</v>
      </c>
      <c r="M120" s="4">
        <v>28.0</v>
      </c>
    </row>
    <row r="121">
      <c r="B121" s="4" t="s">
        <v>132</v>
      </c>
      <c r="C121" s="5" t="str">
        <f t="shared" ref="C121:D121" si="246">RIGHT(B121,LEN(B121)-FIND(",",B121))</f>
        <v>"Understands prepositions (in, on, under)","Give directions using prepositions, use toys for demonstration"</v>
      </c>
      <c r="D121" s="5" t="str">
        <f t="shared" si="246"/>
        <v> on, under)","Give directions using prepositions, use toys for demonstration"</v>
      </c>
      <c r="E121" s="5" t="str">
        <f t="shared" si="150"/>
        <v>Understands prepositions (i</v>
      </c>
      <c r="F121" s="5" t="str">
        <f t="shared" si="151"/>
        <v>on, under)","Give directions using prepositions, use toys for demonstration</v>
      </c>
      <c r="G121" s="4">
        <v>36.0</v>
      </c>
      <c r="H121" s="5" t="str">
        <f t="shared" si="153"/>
        <v>36 months</v>
      </c>
      <c r="J121" s="7">
        <f t="shared" si="244"/>
        <v>36</v>
      </c>
      <c r="K121" s="5" t="str">
        <f t="shared" ref="K121:L121" si="247">E121</f>
        <v>Understands prepositions (i</v>
      </c>
      <c r="L121" s="5" t="str">
        <f t="shared" si="247"/>
        <v>on, under)","Give directions using prepositions, use toys for demonstration</v>
      </c>
      <c r="M121" s="4">
        <v>28.0</v>
      </c>
    </row>
    <row r="122">
      <c r="B122" s="4" t="s">
        <v>133</v>
      </c>
      <c r="C122" s="5" t="str">
        <f t="shared" ref="C122:D122" si="248">RIGHT(B122,LEN(B122)-FIND(",",B122))</f>
        <v>"Knows own name, age, and gender","Practice introducing themselves, use name games"</v>
      </c>
      <c r="D122" s="5" t="str">
        <f t="shared" si="248"/>
        <v> age, and gender","Practice introducing themselves, use name games"</v>
      </c>
      <c r="E122" s="5" t="str">
        <f t="shared" si="150"/>
        <v>Knows own nam</v>
      </c>
      <c r="F122" s="5" t="str">
        <f t="shared" si="151"/>
        <v>age, and gender","Practice introducing themselves, use name games</v>
      </c>
      <c r="G122" s="4">
        <v>36.0</v>
      </c>
      <c r="H122" s="5" t="str">
        <f t="shared" si="153"/>
        <v>36 months</v>
      </c>
      <c r="J122" s="7">
        <f t="shared" si="244"/>
        <v>36</v>
      </c>
      <c r="K122" s="5" t="str">
        <f t="shared" ref="K122:L122" si="249">E122</f>
        <v>Knows own nam</v>
      </c>
      <c r="L122" s="5" t="str">
        <f t="shared" si="249"/>
        <v>age, and gender","Practice introducing themselves, use name games</v>
      </c>
      <c r="M122" s="4">
        <v>28.0</v>
      </c>
    </row>
    <row r="123">
      <c r="B123" s="4" t="s">
        <v>134</v>
      </c>
      <c r="C123" s="5" t="str">
        <f t="shared" ref="C123:D123" si="250">RIGHT(B123,LEN(B123)-FIND(",",B123))</f>
        <v>"Rides a tricycle well","Provide opportunities for riding, supervise outdoor activities"</v>
      </c>
      <c r="D123" s="5" t="str">
        <f t="shared" si="250"/>
        <v>"Provide opportunities for riding, supervise outdoor activities"</v>
      </c>
      <c r="E123" s="5" t="str">
        <f t="shared" si="150"/>
        <v>Rides a tricycle well</v>
      </c>
      <c r="F123" s="5" t="str">
        <f t="shared" si="151"/>
        <v>Provide opportunities for riding, supervise outdoor activities</v>
      </c>
      <c r="G123" s="4">
        <v>36.0</v>
      </c>
      <c r="H123" s="5" t="str">
        <f t="shared" si="153"/>
        <v>36 months</v>
      </c>
      <c r="J123" s="7">
        <f t="shared" si="244"/>
        <v>36</v>
      </c>
      <c r="K123" s="5" t="str">
        <f t="shared" ref="K123:L123" si="251">E123</f>
        <v>Rides a tricycle well</v>
      </c>
      <c r="L123" s="5" t="str">
        <f t="shared" si="251"/>
        <v>Provide opportunities for riding, supervise outdoor activities</v>
      </c>
      <c r="M123" s="4">
        <v>28.0</v>
      </c>
    </row>
    <row r="124">
      <c r="B124" s="4" t="s">
        <v>135</v>
      </c>
      <c r="C124" s="5" t="str">
        <f t="shared" ref="C124:D124" si="252">RIGHT(B124,LEN(B124)-FIND(",",B124))</f>
        <v>"Draws recognizable shapes","Provide drawing materials, demonstrate different shapes"</v>
      </c>
      <c r="D124" s="5" t="str">
        <f t="shared" si="252"/>
        <v>"Provide drawing materials, demonstrate different shapes"</v>
      </c>
      <c r="E124" s="5" t="str">
        <f t="shared" si="150"/>
        <v>Draws recognizable shapes</v>
      </c>
      <c r="F124" s="5" t="str">
        <f t="shared" si="151"/>
        <v>Provide drawing materials, demonstrate different shapes</v>
      </c>
      <c r="G124" s="4">
        <v>36.0</v>
      </c>
      <c r="H124" s="5" t="str">
        <f t="shared" si="153"/>
        <v>36 months</v>
      </c>
      <c r="J124" s="7">
        <f t="shared" si="244"/>
        <v>36</v>
      </c>
      <c r="K124" s="5" t="str">
        <f t="shared" ref="K124:L124" si="253">E124</f>
        <v>Draws recognizable shapes</v>
      </c>
      <c r="L124" s="5" t="str">
        <f t="shared" si="253"/>
        <v>Provide drawing materials, demonstrate different shapes</v>
      </c>
      <c r="M124" s="4">
        <v>28.0</v>
      </c>
    </row>
    <row r="125">
      <c r="B125" s="4" t="s">
        <v>136</v>
      </c>
      <c r="C125" s="5" t="str">
        <f t="shared" ref="C125:D125" si="254">RIGHT(B125,LEN(B125)-FIND(",",B125))</f>
        <v>"Engages in detailed pretend play","Provide props and scenarios, encourage imaginative storytelling"</v>
      </c>
      <c r="D125" s="5" t="str">
        <f t="shared" si="254"/>
        <v>"Provide props and scenarios, encourage imaginative storytelling"</v>
      </c>
      <c r="E125" s="5" t="str">
        <f t="shared" si="150"/>
        <v>Engages in detailed pretend play</v>
      </c>
      <c r="F125" s="5" t="str">
        <f t="shared" si="151"/>
        <v>Provide props and scenarios, encourage imaginative storytelling</v>
      </c>
      <c r="G125" s="4">
        <v>36.0</v>
      </c>
      <c r="H125" s="5" t="str">
        <f t="shared" si="153"/>
        <v>36 months</v>
      </c>
      <c r="J125" s="7">
        <f t="shared" si="244"/>
        <v>36</v>
      </c>
      <c r="K125" s="5" t="str">
        <f t="shared" ref="K125:L125" si="255">E125</f>
        <v>Engages in detailed pretend play</v>
      </c>
      <c r="L125" s="5" t="str">
        <f t="shared" si="255"/>
        <v>Provide props and scenarios, encourage imaginative storytelling</v>
      </c>
    </row>
    <row r="126">
      <c r="B126" s="4" t="s">
        <v>137</v>
      </c>
      <c r="C126" s="5" t="str">
        <f t="shared" ref="C126:D126" si="256">RIGHT(B126,LEN(B126)-FIND(",",B126))</f>
        <v>"Follows three-step instructions","Give complex instructions, reinforce with praise"</v>
      </c>
      <c r="D126" s="5" t="str">
        <f t="shared" si="256"/>
        <v>"Give complex instructions, reinforce with praise"</v>
      </c>
      <c r="E126" s="5" t="str">
        <f t="shared" si="150"/>
        <v>Follows three-step instructions</v>
      </c>
      <c r="F126" s="5" t="str">
        <f t="shared" si="151"/>
        <v>Give complex instructions, reinforce with praise</v>
      </c>
      <c r="G126" s="4">
        <v>36.0</v>
      </c>
      <c r="H126" s="5" t="str">
        <f t="shared" si="153"/>
        <v>36 months</v>
      </c>
      <c r="J126" s="7">
        <f t="shared" si="244"/>
        <v>36</v>
      </c>
      <c r="K126" s="5" t="str">
        <f t="shared" ref="K126:L126" si="257">E126</f>
        <v>Follows three-step instructions</v>
      </c>
      <c r="L126" s="5" t="str">
        <f t="shared" si="257"/>
        <v>Give complex instructions, reinforce with praise</v>
      </c>
    </row>
    <row r="127">
      <c r="B127" s="4" t="s">
        <v>138</v>
      </c>
      <c r="C127" s="5" t="str">
        <f t="shared" ref="C127:D127" si="258">RIGHT(B127,LEN(B127)-FIND(",",B127))</f>
        <v>"Recognizes and can write some letters and numbers","Practice writing, use educational games"</v>
      </c>
      <c r="D127" s="5" t="str">
        <f t="shared" si="258"/>
        <v>"Practice writing, use educational games"</v>
      </c>
      <c r="E127" s="5" t="str">
        <f t="shared" si="150"/>
        <v>Recognizes and can write some letters and numbers</v>
      </c>
      <c r="F127" s="5" t="str">
        <f t="shared" si="151"/>
        <v>Practice writing, use educational games</v>
      </c>
      <c r="G127" s="4">
        <v>36.0</v>
      </c>
      <c r="H127" s="5" t="str">
        <f t="shared" si="153"/>
        <v>36 months</v>
      </c>
      <c r="J127" s="7">
        <f t="shared" si="244"/>
        <v>36</v>
      </c>
      <c r="K127" s="5" t="str">
        <f t="shared" ref="K127:L127" si="259">E127</f>
        <v>Recognizes and can write some letters and numbers</v>
      </c>
      <c r="L127" s="5" t="str">
        <f t="shared" si="259"/>
        <v>Practice writing, use educational games</v>
      </c>
    </row>
    <row r="128">
      <c r="B128" s="4" t="s">
        <v>139</v>
      </c>
      <c r="C128" s="5" t="str">
        <f t="shared" ref="C128:D128" si="260">RIGHT(B128,LEN(B128)-FIND(",",B128))</f>
        <v>"Participates in group activities and plays cooperatively","Facilitate group play, teach cooperation and sharing"</v>
      </c>
      <c r="D128" s="5" t="str">
        <f t="shared" si="260"/>
        <v>"Facilitate group play, teach cooperation and sharing"</v>
      </c>
      <c r="E128" s="5" t="str">
        <f t="shared" si="150"/>
        <v>Participates in group activities and plays cooperatively</v>
      </c>
      <c r="F128" s="5" t="str">
        <f t="shared" si="151"/>
        <v>Facilitate group play, teach cooperation and sharing</v>
      </c>
      <c r="G128" s="4">
        <v>36.0</v>
      </c>
      <c r="H128" s="5" t="str">
        <f t="shared" si="153"/>
        <v>36 months</v>
      </c>
      <c r="J128" s="7">
        <f t="shared" si="244"/>
        <v>36</v>
      </c>
      <c r="K128" s="5" t="str">
        <f t="shared" ref="K128:L128" si="261">E128</f>
        <v>Participates in group activities and plays cooperatively</v>
      </c>
      <c r="L128" s="5" t="str">
        <f t="shared" si="261"/>
        <v>Facilitate group play, teach cooperation and sharing</v>
      </c>
    </row>
    <row r="129">
      <c r="B129" s="4" t="s">
        <v>140</v>
      </c>
      <c r="C129" s="5" t="str">
        <f t="shared" ref="C129:D129" si="262">RIGHT(B129,LEN(B129)-FIND(",",B129))</f>
        <v>"Expresses a wide range of emotions","Discuss feelings, provide comfort and support"</v>
      </c>
      <c r="D129" s="5" t="str">
        <f t="shared" si="262"/>
        <v>"Discuss feelings, provide comfort and support"</v>
      </c>
      <c r="E129" s="5" t="str">
        <f t="shared" si="150"/>
        <v>Expresses a wide range of emotions</v>
      </c>
      <c r="F129" s="5" t="str">
        <f t="shared" si="151"/>
        <v>Discuss feelings, provide comfort and support</v>
      </c>
      <c r="G129" s="4">
        <v>36.0</v>
      </c>
      <c r="H129" s="5" t="str">
        <f t="shared" si="153"/>
        <v>36 months</v>
      </c>
      <c r="J129" s="7">
        <f t="shared" si="244"/>
        <v>36</v>
      </c>
      <c r="K129" s="5" t="str">
        <f t="shared" ref="K129:L129" si="263">E129</f>
        <v>Expresses a wide range of emotions</v>
      </c>
      <c r="L129" s="5" t="str">
        <f t="shared" si="263"/>
        <v>Discuss feelings, provide comfort and support</v>
      </c>
    </row>
    <row r="130">
      <c r="B130" s="4" t="s">
        <v>141</v>
      </c>
      <c r="C130" s="5" t="str">
        <f t="shared" ref="C130:D130" si="264">RIGHT(B130,LEN(B130)-FIND(",",B130))</f>
        <v>"Uses a fork and spoon effectively","Provide utensils, encourage self-feeding"</v>
      </c>
      <c r="D130" s="5" t="str">
        <f t="shared" si="264"/>
        <v>"Provide utensils, encourage self-feeding"</v>
      </c>
      <c r="E130" s="5" t="str">
        <f t="shared" si="150"/>
        <v>Uses a fork and spoon effectively</v>
      </c>
      <c r="F130" s="5" t="str">
        <f t="shared" si="151"/>
        <v>Provide utensils, encourage self-feeding</v>
      </c>
      <c r="G130" s="4">
        <v>36.0</v>
      </c>
      <c r="H130" s="5" t="str">
        <f t="shared" si="153"/>
        <v>36 months</v>
      </c>
      <c r="J130" s="7">
        <f t="shared" si="244"/>
        <v>36</v>
      </c>
      <c r="K130" s="5" t="str">
        <f t="shared" ref="K130:L130" si="265">E130</f>
        <v>Uses a fork and spoon effectively</v>
      </c>
      <c r="L130" s="5" t="str">
        <f t="shared" si="265"/>
        <v>Provide utensils, encourage self-feeding</v>
      </c>
      <c r="M130" s="4">
        <v>29.0</v>
      </c>
    </row>
    <row r="131">
      <c r="B131" s="4" t="s">
        <v>142</v>
      </c>
      <c r="C131" s="5" t="str">
        <f t="shared" ref="C131:D131" si="266">RIGHT(B131,LEN(B131)-FIND(",",B131))</f>
        <v>"Dresses and undresses with minimal help","Encourage dressing skills, provide easy-to-manage clothes"</v>
      </c>
      <c r="D131" s="5" t="str">
        <f t="shared" si="266"/>
        <v>"Encourage dressing skills, provide easy-to-manage clothes"</v>
      </c>
      <c r="E131" s="5" t="str">
        <f t="shared" si="150"/>
        <v>Dresses and undresses with minimal help</v>
      </c>
      <c r="F131" s="5" t="str">
        <f t="shared" si="151"/>
        <v>Encourage dressing skills, provide easy-to-manage clothes</v>
      </c>
      <c r="G131" s="4">
        <v>36.0</v>
      </c>
      <c r="H131" s="5" t="str">
        <f t="shared" si="153"/>
        <v>36 months</v>
      </c>
      <c r="J131" s="7">
        <f t="shared" si="244"/>
        <v>36</v>
      </c>
      <c r="K131" s="5" t="str">
        <f t="shared" ref="K131:L131" si="267">E131</f>
        <v>Dresses and undresses with minimal help</v>
      </c>
      <c r="L131" s="5" t="str">
        <f t="shared" si="267"/>
        <v>Encourage dressing skills, provide easy-to-manage clothes</v>
      </c>
    </row>
    <row r="132">
      <c r="B132" s="4" t="s">
        <v>143</v>
      </c>
      <c r="C132" s="5" t="str">
        <f t="shared" ref="C132:D132" si="268">RIGHT(B132,LEN(B132)-FIND(",",B132))</f>
        <v>"Recognizes familiar written words","Use flashcards, practice reading simple words"</v>
      </c>
      <c r="D132" s="5" t="str">
        <f t="shared" si="268"/>
        <v>"Use flashcards, practice reading simple words"</v>
      </c>
      <c r="E132" s="5" t="str">
        <f t="shared" si="150"/>
        <v>Recognizes familiar written words</v>
      </c>
      <c r="F132" s="5" t="str">
        <f t="shared" si="151"/>
        <v>Use flashcards, practice reading simple words</v>
      </c>
      <c r="G132" s="4">
        <v>36.0</v>
      </c>
      <c r="H132" s="5" t="str">
        <f t="shared" si="153"/>
        <v>36 months</v>
      </c>
      <c r="J132" s="7">
        <f t="shared" si="244"/>
        <v>36</v>
      </c>
      <c r="K132" s="5" t="str">
        <f t="shared" ref="K132:L132" si="269">E132</f>
        <v>Recognizes familiar written words</v>
      </c>
      <c r="L132" s="5" t="str">
        <f t="shared" si="269"/>
        <v>Use flashcards, practice reading simple words</v>
      </c>
    </row>
    <row r="133">
      <c r="B133" s="4" t="s">
        <v>144</v>
      </c>
      <c r="C133" s="5" t="str">
        <f t="shared" ref="C133:D133" si="270">RIGHT(B133,LEN(B133)-FIND(",",B133))</f>
        <v>"Understands cause and effect relationships","Discuss outcomes of actions, provide examples"</v>
      </c>
      <c r="D133" s="5" t="str">
        <f t="shared" si="270"/>
        <v>"Discuss outcomes of actions, provide examples"</v>
      </c>
      <c r="E133" s="5" t="str">
        <f t="shared" si="150"/>
        <v>Understands cause and effect relationships</v>
      </c>
      <c r="F133" s="5" t="str">
        <f t="shared" si="151"/>
        <v>Discuss outcomes of actions, provide examples</v>
      </c>
      <c r="G133" s="4">
        <v>36.0</v>
      </c>
      <c r="H133" s="5" t="str">
        <f t="shared" si="153"/>
        <v>36 months</v>
      </c>
      <c r="J133" s="7">
        <f t="shared" si="244"/>
        <v>36</v>
      </c>
      <c r="K133" s="5" t="str">
        <f t="shared" ref="K133:L133" si="271">E133</f>
        <v>Understands cause and effect relationships</v>
      </c>
      <c r="L133" s="5" t="str">
        <f t="shared" si="271"/>
        <v>Discuss outcomes of actions, provide examples</v>
      </c>
    </row>
    <row r="134">
      <c r="B134" s="4" t="s">
        <v>145</v>
      </c>
      <c r="C134" s="5" t="str">
        <f t="shared" ref="C134:D134" si="272">RIGHT(B134,LEN(B134)-FIND(",",B134))</f>
        <v>"Shows interest in new experiences","Introduce new activities, encourage exploration"</v>
      </c>
      <c r="D134" s="5" t="str">
        <f t="shared" si="272"/>
        <v>"Introduce new activities, encourage exploration"</v>
      </c>
      <c r="E134" s="5" t="str">
        <f t="shared" si="150"/>
        <v>Shows interest in new experiences</v>
      </c>
      <c r="F134" s="5" t="str">
        <f t="shared" si="151"/>
        <v>Introduce new activities, encourage exploration</v>
      </c>
      <c r="G134" s="4">
        <v>36.0</v>
      </c>
      <c r="H134" s="5" t="str">
        <f t="shared" si="153"/>
        <v>36 months</v>
      </c>
      <c r="J134" s="7">
        <f t="shared" si="244"/>
        <v>36</v>
      </c>
      <c r="K134" s="5" t="str">
        <f t="shared" ref="K134:L134" si="273">E134</f>
        <v>Shows interest in new experiences</v>
      </c>
      <c r="L134" s="5" t="str">
        <f t="shared" si="273"/>
        <v>Introduce new activities, encourage exploration</v>
      </c>
    </row>
    <row r="135">
      <c r="B135" s="4" t="s">
        <v>146</v>
      </c>
      <c r="C135" s="5" t="str">
        <f t="shared" ref="C135:D135" si="274">RIGHT(B135,LEN(B135)-FIND(",",B135))</f>
        <v>"Can state first and last name","Practice saying full name, use introduction games"</v>
      </c>
      <c r="D135" s="5" t="str">
        <f t="shared" si="274"/>
        <v>"Practice saying full name, use introduction games"</v>
      </c>
      <c r="E135" s="5" t="str">
        <f t="shared" si="150"/>
        <v>Can state first and last name</v>
      </c>
      <c r="F135" s="5" t="str">
        <f t="shared" si="151"/>
        <v>Practice saying full name, use introduction games</v>
      </c>
      <c r="G135" s="4">
        <v>36.0</v>
      </c>
      <c r="H135" s="5" t="str">
        <f t="shared" si="153"/>
        <v>36 months</v>
      </c>
      <c r="J135" s="7">
        <f t="shared" si="244"/>
        <v>36</v>
      </c>
      <c r="K135" s="5" t="str">
        <f t="shared" ref="K135:L135" si="275">E135</f>
        <v>Can state first and last name</v>
      </c>
      <c r="L135" s="5" t="str">
        <f t="shared" si="275"/>
        <v>Practice saying full name, use introduction games</v>
      </c>
    </row>
    <row r="136">
      <c r="B136" s="4" t="s">
        <v>147</v>
      </c>
      <c r="C136" s="5" t="str">
        <f t="shared" ref="C136:D136" si="276">RIGHT(B136,LEN(B136)-FIND(",",B136))</f>
        <v>"Participates in simple chores","Assign small tasks, praise efforts"</v>
      </c>
      <c r="D136" s="5" t="str">
        <f t="shared" si="276"/>
        <v>"Assign small tasks, praise efforts"</v>
      </c>
      <c r="E136" s="5" t="str">
        <f t="shared" si="150"/>
        <v>Participates in simple chores</v>
      </c>
      <c r="F136" s="5" t="str">
        <f t="shared" si="151"/>
        <v>Assign small tasks, praise efforts</v>
      </c>
      <c r="G136" s="4">
        <v>36.0</v>
      </c>
      <c r="H136" s="5" t="str">
        <f t="shared" si="153"/>
        <v>36 months</v>
      </c>
      <c r="J136" s="7">
        <f t="shared" si="244"/>
        <v>36</v>
      </c>
      <c r="K136" s="5" t="str">
        <f t="shared" ref="K136:L136" si="277">E136</f>
        <v>Participates in simple chores</v>
      </c>
      <c r="L136" s="5" t="str">
        <f t="shared" si="277"/>
        <v>Assign small tasks, praise efforts</v>
      </c>
    </row>
    <row r="137">
      <c r="B137" s="4" t="s">
        <v>148</v>
      </c>
      <c r="C137" s="5" t="str">
        <f t="shared" ref="C137:D137" si="278">RIGHT(B137,LEN(B137)-FIND(",",B137))</f>
        <v>"Displays a sense of humor","Engage in playful humor, tell simple jokes"</v>
      </c>
      <c r="D137" s="5" t="str">
        <f t="shared" si="278"/>
        <v>"Engage in playful humor, tell simple jokes"</v>
      </c>
      <c r="E137" s="5" t="str">
        <f t="shared" si="150"/>
        <v>Displays a sense of humor</v>
      </c>
      <c r="F137" s="5" t="str">
        <f t="shared" si="151"/>
        <v>Engage in playful humor, tell simple jokes</v>
      </c>
      <c r="G137" s="4">
        <v>36.0</v>
      </c>
      <c r="H137" s="5" t="str">
        <f t="shared" si="153"/>
        <v>36 months</v>
      </c>
      <c r="J137" s="7">
        <f t="shared" si="244"/>
        <v>36</v>
      </c>
      <c r="K137" s="5" t="str">
        <f t="shared" ref="K137:L137" si="279">E137</f>
        <v>Displays a sense of humor</v>
      </c>
      <c r="L137" s="5" t="str">
        <f t="shared" si="279"/>
        <v>Engage in playful humor, tell simple jokes</v>
      </c>
    </row>
    <row r="138">
      <c r="B138" s="4" t="s">
        <v>149</v>
      </c>
      <c r="C138" s="5" t="str">
        <f t="shared" ref="C138:D138" si="280">RIGHT(B138,LEN(B138)-FIND(",",B138))</f>
        <v>"Understands basic safety rules","Discuss safety, practice following rules"</v>
      </c>
      <c r="D138" s="5" t="str">
        <f t="shared" si="280"/>
        <v>"Discuss safety, practice following rules"</v>
      </c>
      <c r="E138" s="5" t="str">
        <f t="shared" si="150"/>
        <v>Understands basic safety rules</v>
      </c>
      <c r="F138" s="5" t="str">
        <f t="shared" si="151"/>
        <v>Discuss safety, practice following rules</v>
      </c>
      <c r="G138" s="4">
        <v>36.0</v>
      </c>
      <c r="H138" s="5" t="str">
        <f t="shared" si="153"/>
        <v>36 months</v>
      </c>
      <c r="J138" s="7">
        <f t="shared" si="244"/>
        <v>36</v>
      </c>
      <c r="K138" s="5" t="str">
        <f t="shared" ref="K138:L138" si="281">E138</f>
        <v>Understands basic safety rules</v>
      </c>
      <c r="L138" s="5" t="str">
        <f t="shared" si="281"/>
        <v>Discuss safety, practice following rules</v>
      </c>
    </row>
  </sheetData>
  <drawing r:id="rId1"/>
</worksheet>
</file>